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23-24 мониторинг\"/>
    </mc:Choice>
  </mc:AlternateContent>
  <bookViews>
    <workbookView xWindow="0" yWindow="0" windowWidth="28800" windowHeight="12315" activeTab="4"/>
  </bookViews>
  <sheets>
    <sheet name="орта топ" sheetId="12" r:id="rId1"/>
    <sheet name="кіші" sheetId="18" r:id="rId2"/>
    <sheet name="МАД" sheetId="19" r:id="rId3"/>
    <sheet name="ересек топ" sheetId="11" r:id="rId4"/>
    <sheet name="МДҰ әдіскерінің жинағы" sheetId="1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16" l="1"/>
  <c r="W12" i="16" s="1"/>
  <c r="T12" i="16"/>
  <c r="U12" i="16" s="1"/>
  <c r="R12" i="16"/>
  <c r="S12" i="16" s="1"/>
  <c r="V11" i="16"/>
  <c r="W11" i="16" s="1"/>
  <c r="T11" i="16"/>
  <c r="U11" i="16" s="1"/>
  <c r="R11" i="16"/>
  <c r="S11" i="16" s="1"/>
  <c r="V10" i="16"/>
  <c r="W10" i="16" s="1"/>
  <c r="T10" i="16"/>
  <c r="U10" i="16" s="1"/>
  <c r="R10" i="16"/>
  <c r="S10" i="16" s="1"/>
  <c r="V9" i="16"/>
  <c r="W9" i="16" s="1"/>
  <c r="T9" i="16"/>
  <c r="U9" i="16" s="1"/>
  <c r="R9" i="16"/>
  <c r="S9" i="16" s="1"/>
  <c r="D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L14" i="16" l="1"/>
  <c r="B14" i="16"/>
  <c r="Q13" i="16"/>
  <c r="Q14" i="16" s="1"/>
  <c r="P13" i="16"/>
  <c r="P14" i="16" s="1"/>
  <c r="O13" i="16"/>
  <c r="O14" i="16" s="1"/>
  <c r="N13" i="16"/>
  <c r="N14" i="16" s="1"/>
  <c r="M13" i="16"/>
  <c r="M14" i="16" s="1"/>
  <c r="L13" i="16"/>
  <c r="K13" i="16"/>
  <c r="K14" i="16" s="1"/>
  <c r="J13" i="16"/>
  <c r="J14" i="16" s="1"/>
  <c r="I13" i="16"/>
  <c r="I14" i="16" s="1"/>
  <c r="H13" i="16"/>
  <c r="H14" i="16" s="1"/>
  <c r="G13" i="16"/>
  <c r="G14" i="16" s="1"/>
  <c r="F13" i="16"/>
  <c r="F14" i="16" s="1"/>
  <c r="E13" i="16"/>
  <c r="D13" i="16"/>
  <c r="C13" i="16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P12" i="18"/>
  <c r="F12" i="18"/>
  <c r="D12" i="18"/>
  <c r="S11" i="18"/>
  <c r="S12" i="18" s="1"/>
  <c r="R11" i="18"/>
  <c r="R12" i="18" s="1"/>
  <c r="Q11" i="18"/>
  <c r="Q12" i="18" s="1"/>
  <c r="P11" i="18"/>
  <c r="O11" i="18"/>
  <c r="N11" i="18"/>
  <c r="M11" i="18"/>
  <c r="L11" i="18"/>
  <c r="K11" i="18"/>
  <c r="K12" i="18" s="1"/>
  <c r="J11" i="18"/>
  <c r="J12" i="18" s="1"/>
  <c r="I11" i="18"/>
  <c r="I12" i="18" s="1"/>
  <c r="H11" i="18"/>
  <c r="H12" i="18" s="1"/>
  <c r="G11" i="18"/>
  <c r="G12" i="18" s="1"/>
  <c r="F11" i="18"/>
  <c r="E11" i="18"/>
  <c r="E12" i="18" s="1"/>
  <c r="D11" i="18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D14" i="16" l="1"/>
  <c r="T13" i="16"/>
  <c r="U13" i="16" s="1"/>
  <c r="C14" i="16"/>
  <c r="R13" i="16"/>
  <c r="S13" i="16" s="1"/>
  <c r="E14" i="16"/>
  <c r="V13" i="16"/>
  <c r="W13" i="16" s="1"/>
  <c r="O12" i="18"/>
  <c r="M12" i="18"/>
  <c r="L12" i="18"/>
  <c r="N12" i="18"/>
</calcChain>
</file>

<file path=xl/sharedStrings.xml><?xml version="1.0" encoding="utf-8"?>
<sst xmlns="http://schemas.openxmlformats.org/spreadsheetml/2006/main" count="191" uniqueCount="49">
  <si>
    <t>МДҰ бойынша әдіскерінің жинағы</t>
  </si>
  <si>
    <t xml:space="preserve">Әдіскерінің аты-жөні   </t>
  </si>
  <si>
    <t>№</t>
  </si>
  <si>
    <t>Топтың атауы</t>
  </si>
  <si>
    <t>Тәрбиешінің аты-жөні</t>
  </si>
  <si>
    <t>Балалар саны</t>
  </si>
  <si>
    <t xml:space="preserve"> Физикалық қасиеттерді дамыту</t>
  </si>
  <si>
    <t xml:space="preserve">Коммуникативтік дағдыларды дамыту </t>
  </si>
  <si>
    <t xml:space="preserve"> Танымдық және зияткерлік дағдыларды дамыту </t>
  </si>
  <si>
    <t xml:space="preserve">Балалардың шығармашылық дағдыларын, зерттеу іс-әрекетін дамыту </t>
  </si>
  <si>
    <t>Әлеуметтік-эмоционалды дағдыларды қалыптастыру</t>
  </si>
  <si>
    <t>олардың ішінде  жоғары деңгей</t>
  </si>
  <si>
    <t>олардың ішінде орташа деңгей</t>
  </si>
  <si>
    <t>олардың ішінде   төмен деңгей</t>
  </si>
  <si>
    <t>Толағай</t>
  </si>
  <si>
    <t>Барлығы</t>
  </si>
  <si>
    <t>%</t>
  </si>
  <si>
    <t>Балапан</t>
  </si>
  <si>
    <t xml:space="preserve">Әдіскерінің аты-жөні  </t>
  </si>
  <si>
    <t>Приложение 3</t>
  </si>
  <si>
    <t xml:space="preserve">Әдіскерінің аты-жөні </t>
  </si>
  <si>
    <t xml:space="preserve">Жас топтары </t>
  </si>
  <si>
    <t xml:space="preserve">Балалар саны </t>
  </si>
  <si>
    <t>кіші</t>
  </si>
  <si>
    <t>ортаңғы топ</t>
  </si>
  <si>
    <t>ересек топ</t>
  </si>
  <si>
    <t xml:space="preserve"> %</t>
  </si>
  <si>
    <t>МДҰ атауы  "Нұрбақ-2016"</t>
  </si>
  <si>
    <t>МДҰ атауы  Нұрбақ-2016 бөбекжай бақшасы</t>
  </si>
  <si>
    <t>Балдырған</t>
  </si>
  <si>
    <t>МДҰ атауы  "Нұрбақ-2016" бөбекжай бақшасы</t>
  </si>
  <si>
    <t>Мектепке дейінгі ұйым әдіскерінің мектепалды топтары бойынша жинақтау парағы</t>
  </si>
  <si>
    <t>МДҰ атауы__________________________________________________________</t>
  </si>
  <si>
    <t>Қосымша 2</t>
  </si>
  <si>
    <t>Әдіскерінің аты-жөні_____________________________________</t>
  </si>
  <si>
    <t>Мекен-жайы__________________________________________</t>
  </si>
  <si>
    <t>Оқыту тілі_____________________________________________</t>
  </si>
  <si>
    <t>Сөйлеуді дамыту</t>
  </si>
  <si>
    <t>Көркем әдебиет</t>
  </si>
  <si>
    <t>Сауат ашу негіздері</t>
  </si>
  <si>
    <t>Қазақ тілі</t>
  </si>
  <si>
    <t>Сурет салу</t>
  </si>
  <si>
    <t>Мүсіндеу</t>
  </si>
  <si>
    <t>Жапсыру</t>
  </si>
  <si>
    <t>Құрастыру</t>
  </si>
  <si>
    <t>Музыка</t>
  </si>
  <si>
    <t>Айгөйлек</t>
  </si>
  <si>
    <t>МАД</t>
  </si>
  <si>
    <t>БАРЛЫҒЫ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</si>
</sst>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charset val="204"/>
      <scheme val="minor"/>
    </font>
    <font>
      <b/>
      <sz val="12"/>
      <color theme="1"/>
      <name val="Times New Roman"/>
      <charset val="204"/>
    </font>
    <font>
      <sz val="12"/>
      <color theme="1"/>
      <name val="Times New Roman"/>
      <charset val="204"/>
    </font>
    <font>
      <i/>
      <sz val="12"/>
      <color theme="1"/>
      <name val="Times New Roman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4" xfId="0" applyFont="1" applyBorder="1" applyAlignment="1">
      <alignment vertical="center" wrapText="1"/>
    </xf>
    <xf numFmtId="1" fontId="1" fillId="0" borderId="2" xfId="0" applyNumberFormat="1" applyFont="1" applyBorder="1" applyAlignment="1">
      <alignment vertical="center" wrapText="1"/>
    </xf>
    <xf numFmtId="1" fontId="1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2" xfId="0" applyFont="1" applyBorder="1"/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тақырыб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4"/>
  <sheetViews>
    <sheetView topLeftCell="B2" workbookViewId="0">
      <selection activeCell="E9" sqref="E9:M9"/>
    </sheetView>
  </sheetViews>
  <sheetFormatPr defaultColWidth="9" defaultRowHeight="15" x14ac:dyDescent="0.25"/>
  <cols>
    <col min="2" max="2" width="16.140625" customWidth="1"/>
    <col min="3" max="3" width="25.42578125" customWidth="1"/>
    <col min="4" max="4" width="12.5703125" customWidth="1"/>
    <col min="5" max="5" width="13.42578125" customWidth="1"/>
    <col min="6" max="6" width="12.5703125" customWidth="1"/>
    <col min="7" max="7" width="12.85546875" customWidth="1"/>
    <col min="8" max="8" width="13" customWidth="1"/>
    <col min="9" max="9" width="12.42578125" customWidth="1"/>
    <col min="10" max="10" width="12.7109375" customWidth="1"/>
    <col min="11" max="11" width="12.140625" customWidth="1"/>
    <col min="12" max="12" width="12.7109375" customWidth="1"/>
    <col min="13" max="15" width="12.28515625" customWidth="1"/>
    <col min="16" max="16" width="12" customWidth="1"/>
    <col min="17" max="17" width="12.28515625" customWidth="1"/>
    <col min="18" max="19" width="12.140625" customWidth="1"/>
  </cols>
  <sheetData>
    <row r="2" spans="1:19" ht="15.75" x14ac:dyDescent="0.25">
      <c r="A2" s="19" t="s">
        <v>0</v>
      </c>
      <c r="B2" s="19"/>
      <c r="C2" s="19"/>
      <c r="D2" s="2"/>
      <c r="E2" s="2"/>
      <c r="F2" s="2"/>
      <c r="G2" s="2"/>
      <c r="H2" s="2"/>
      <c r="I2" s="20" t="s">
        <v>30</v>
      </c>
      <c r="J2" s="20"/>
      <c r="K2" s="20"/>
      <c r="L2" s="20"/>
      <c r="M2" s="20"/>
      <c r="N2" s="3"/>
      <c r="O2" s="3"/>
      <c r="P2" s="3"/>
      <c r="Q2" s="3"/>
      <c r="R2" s="3"/>
      <c r="S2" s="3"/>
    </row>
    <row r="3" spans="1:1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75" x14ac:dyDescent="0.25">
      <c r="A4" s="3"/>
      <c r="G4" s="3"/>
      <c r="H4" s="3"/>
      <c r="I4" s="20" t="s">
        <v>1</v>
      </c>
      <c r="J4" s="20"/>
      <c r="K4" s="20"/>
      <c r="L4" s="20"/>
      <c r="M4" s="20"/>
      <c r="N4" s="20"/>
      <c r="O4" s="20"/>
      <c r="P4" s="3"/>
      <c r="Q4" s="3"/>
      <c r="R4" s="3"/>
      <c r="S4" s="3"/>
    </row>
    <row r="5" spans="1:19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.75" x14ac:dyDescent="0.25">
      <c r="A6" s="3"/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.75" customHeight="1" x14ac:dyDescent="0.25">
      <c r="A7" s="27" t="s">
        <v>2</v>
      </c>
      <c r="B7" s="21" t="s">
        <v>3</v>
      </c>
      <c r="C7" s="21" t="s">
        <v>4</v>
      </c>
      <c r="D7" s="21" t="s">
        <v>5</v>
      </c>
      <c r="E7" s="21" t="s">
        <v>6</v>
      </c>
      <c r="F7" s="21"/>
      <c r="G7" s="21"/>
      <c r="H7" s="21" t="s">
        <v>7</v>
      </c>
      <c r="I7" s="21"/>
      <c r="J7" s="21"/>
      <c r="K7" s="21" t="s">
        <v>8</v>
      </c>
      <c r="L7" s="21"/>
      <c r="M7" s="21"/>
      <c r="N7" s="21" t="s">
        <v>9</v>
      </c>
      <c r="O7" s="21"/>
      <c r="P7" s="21"/>
      <c r="Q7" s="21" t="s">
        <v>10</v>
      </c>
      <c r="R7" s="21"/>
      <c r="S7" s="21"/>
    </row>
    <row r="8" spans="1:19" ht="114.75" customHeight="1" x14ac:dyDescent="0.25">
      <c r="A8" s="27"/>
      <c r="B8" s="21"/>
      <c r="C8" s="21"/>
      <c r="D8" s="21"/>
      <c r="E8" s="6" t="s">
        <v>11</v>
      </c>
      <c r="F8" s="6" t="s">
        <v>12</v>
      </c>
      <c r="G8" s="6" t="s">
        <v>13</v>
      </c>
      <c r="H8" s="6" t="s">
        <v>11</v>
      </c>
      <c r="I8" s="6" t="s">
        <v>12</v>
      </c>
      <c r="J8" s="6" t="s">
        <v>13</v>
      </c>
      <c r="K8" s="6" t="s">
        <v>11</v>
      </c>
      <c r="L8" s="6" t="s">
        <v>12</v>
      </c>
      <c r="M8" s="6" t="s">
        <v>13</v>
      </c>
      <c r="N8" s="6" t="s">
        <v>11</v>
      </c>
      <c r="O8" s="6" t="s">
        <v>12</v>
      </c>
      <c r="P8" s="6" t="s">
        <v>13</v>
      </c>
      <c r="Q8" s="6" t="s">
        <v>11</v>
      </c>
      <c r="R8" s="6" t="s">
        <v>12</v>
      </c>
      <c r="S8" s="6" t="s">
        <v>13</v>
      </c>
    </row>
    <row r="9" spans="1:19" ht="15.75" x14ac:dyDescent="0.25">
      <c r="A9" s="16">
        <v>1</v>
      </c>
      <c r="B9" s="16" t="s">
        <v>29</v>
      </c>
      <c r="C9" s="16"/>
      <c r="D9" s="8">
        <v>25</v>
      </c>
      <c r="E9" s="8">
        <v>5</v>
      </c>
      <c r="F9" s="8">
        <v>6</v>
      </c>
      <c r="G9" s="8">
        <v>14</v>
      </c>
      <c r="H9" s="8">
        <v>5</v>
      </c>
      <c r="I9" s="8">
        <v>6</v>
      </c>
      <c r="J9" s="8">
        <v>14</v>
      </c>
      <c r="K9" s="8">
        <v>5</v>
      </c>
      <c r="L9" s="8">
        <v>6</v>
      </c>
      <c r="M9" s="8">
        <v>14</v>
      </c>
      <c r="N9" s="8">
        <v>5</v>
      </c>
      <c r="O9" s="8">
        <v>6</v>
      </c>
      <c r="P9" s="8">
        <v>11</v>
      </c>
      <c r="Q9" s="8">
        <v>4</v>
      </c>
      <c r="R9" s="8">
        <v>6</v>
      </c>
      <c r="S9" s="8">
        <v>11</v>
      </c>
    </row>
    <row r="10" spans="1:19" ht="15.75" x14ac:dyDescent="0.25">
      <c r="A10" s="16">
        <v>2</v>
      </c>
      <c r="B10" s="16"/>
      <c r="C10" s="16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15.75" x14ac:dyDescent="0.25">
      <c r="A11" s="17">
        <v>3</v>
      </c>
      <c r="B11" s="17"/>
      <c r="C11" s="1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ht="15.75" x14ac:dyDescent="0.25">
      <c r="A12" s="17"/>
      <c r="B12" s="17"/>
      <c r="C12" s="1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ht="15.75" x14ac:dyDescent="0.25">
      <c r="A13" s="22" t="s">
        <v>15</v>
      </c>
      <c r="B13" s="23"/>
      <c r="C13" s="24"/>
      <c r="D13" s="8">
        <f t="shared" ref="D13:S13" si="0">SUM(D9:D12)</f>
        <v>25</v>
      </c>
      <c r="E13" s="8">
        <f t="shared" si="0"/>
        <v>5</v>
      </c>
      <c r="F13" s="8">
        <f t="shared" si="0"/>
        <v>6</v>
      </c>
      <c r="G13" s="8">
        <f t="shared" si="0"/>
        <v>14</v>
      </c>
      <c r="H13" s="8">
        <f t="shared" si="0"/>
        <v>5</v>
      </c>
      <c r="I13" s="8">
        <f t="shared" si="0"/>
        <v>6</v>
      </c>
      <c r="J13" s="8">
        <f t="shared" si="0"/>
        <v>14</v>
      </c>
      <c r="K13" s="8">
        <f t="shared" si="0"/>
        <v>5</v>
      </c>
      <c r="L13" s="8">
        <f t="shared" si="0"/>
        <v>6</v>
      </c>
      <c r="M13" s="8">
        <f t="shared" si="0"/>
        <v>14</v>
      </c>
      <c r="N13" s="8">
        <f t="shared" si="0"/>
        <v>5</v>
      </c>
      <c r="O13" s="8">
        <f t="shared" si="0"/>
        <v>6</v>
      </c>
      <c r="P13" s="8">
        <f t="shared" si="0"/>
        <v>11</v>
      </c>
      <c r="Q13" s="8">
        <f t="shared" si="0"/>
        <v>4</v>
      </c>
      <c r="R13" s="8">
        <f t="shared" si="0"/>
        <v>6</v>
      </c>
      <c r="S13" s="8">
        <f t="shared" si="0"/>
        <v>11</v>
      </c>
    </row>
    <row r="14" spans="1:19" ht="21.75" customHeight="1" x14ac:dyDescent="0.25">
      <c r="A14" s="25" t="s">
        <v>16</v>
      </c>
      <c r="B14" s="26"/>
      <c r="C14" s="26"/>
      <c r="D14" s="18">
        <f>D13*100/D13</f>
        <v>100</v>
      </c>
      <c r="E14" s="13">
        <f>E13*100/D13</f>
        <v>20</v>
      </c>
      <c r="F14" s="13">
        <f>F13*100/D13</f>
        <v>24</v>
      </c>
      <c r="G14" s="13">
        <f>G13*100/D13</f>
        <v>56</v>
      </c>
      <c r="H14" s="13">
        <f>H13*100/D13</f>
        <v>20</v>
      </c>
      <c r="I14" s="13">
        <f>I13*100/D13</f>
        <v>24</v>
      </c>
      <c r="J14" s="13">
        <f>J13*100/D13</f>
        <v>56</v>
      </c>
      <c r="K14" s="13">
        <f>K13*100/D13</f>
        <v>20</v>
      </c>
      <c r="L14" s="13">
        <f>L13*100/D13</f>
        <v>24</v>
      </c>
      <c r="M14" s="13">
        <f>M13*100/D13</f>
        <v>56</v>
      </c>
      <c r="N14" s="13">
        <f>N13*100/D13</f>
        <v>20</v>
      </c>
      <c r="O14" s="13">
        <f>O13*100/D13</f>
        <v>24</v>
      </c>
      <c r="P14" s="13">
        <f>P13*100/D13</f>
        <v>44</v>
      </c>
      <c r="Q14" s="13">
        <f>Q13*100/D13</f>
        <v>16</v>
      </c>
      <c r="R14" s="13">
        <f>R13*100/D13</f>
        <v>24</v>
      </c>
      <c r="S14" s="13">
        <f>S13*100/D13</f>
        <v>44</v>
      </c>
    </row>
  </sheetData>
  <mergeCells count="14">
    <mergeCell ref="Q7:S7"/>
    <mergeCell ref="A13:C13"/>
    <mergeCell ref="A14:C14"/>
    <mergeCell ref="A7:A8"/>
    <mergeCell ref="B7:B8"/>
    <mergeCell ref="C7:C8"/>
    <mergeCell ref="D7:D8"/>
    <mergeCell ref="A2:C2"/>
    <mergeCell ref="I2:M2"/>
    <mergeCell ref="I4:O4"/>
    <mergeCell ref="E7:G7"/>
    <mergeCell ref="H7:J7"/>
    <mergeCell ref="K7:M7"/>
    <mergeCell ref="N7:P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2"/>
  <sheetViews>
    <sheetView workbookViewId="0">
      <selection activeCell="E9" sqref="E9:P9"/>
    </sheetView>
  </sheetViews>
  <sheetFormatPr defaultColWidth="9.140625" defaultRowHeight="15" x14ac:dyDescent="0.25"/>
  <cols>
    <col min="1" max="1" width="5" customWidth="1"/>
    <col min="2" max="2" width="15.85546875" customWidth="1"/>
    <col min="3" max="3" width="14.7109375" customWidth="1"/>
  </cols>
  <sheetData>
    <row r="2" spans="1:19" ht="15.75" x14ac:dyDescent="0.25">
      <c r="A2" s="19" t="s">
        <v>0</v>
      </c>
      <c r="B2" s="19"/>
      <c r="C2" s="19"/>
      <c r="D2" s="2"/>
      <c r="E2" s="2"/>
      <c r="F2" s="2"/>
      <c r="G2" s="2"/>
      <c r="H2" s="2"/>
      <c r="I2" s="20" t="s">
        <v>28</v>
      </c>
      <c r="J2" s="20"/>
      <c r="K2" s="20"/>
      <c r="L2" s="20"/>
      <c r="M2" s="20"/>
      <c r="N2" s="3"/>
      <c r="O2" s="3"/>
      <c r="P2" s="3"/>
      <c r="Q2" s="3"/>
      <c r="R2" s="3"/>
      <c r="S2" s="3"/>
    </row>
    <row r="3" spans="1:1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75" x14ac:dyDescent="0.25">
      <c r="A4" s="3"/>
      <c r="G4" s="3"/>
      <c r="H4" s="3"/>
      <c r="I4" s="20" t="s">
        <v>1</v>
      </c>
      <c r="J4" s="20"/>
      <c r="K4" s="20"/>
      <c r="L4" s="20"/>
      <c r="M4" s="20"/>
      <c r="N4" s="20"/>
      <c r="O4" s="20"/>
      <c r="P4" s="3"/>
      <c r="Q4" s="3"/>
      <c r="R4" s="3"/>
      <c r="S4" s="3"/>
    </row>
    <row r="5" spans="1:19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.75" x14ac:dyDescent="0.25">
      <c r="A6" s="3"/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.75" customHeight="1" x14ac:dyDescent="0.25">
      <c r="A7" s="27" t="s">
        <v>2</v>
      </c>
      <c r="B7" s="21" t="s">
        <v>3</v>
      </c>
      <c r="C7" s="21" t="s">
        <v>4</v>
      </c>
      <c r="D7" s="21" t="s">
        <v>5</v>
      </c>
      <c r="E7" s="21" t="s">
        <v>6</v>
      </c>
      <c r="F7" s="21"/>
      <c r="G7" s="21"/>
      <c r="H7" s="21" t="s">
        <v>7</v>
      </c>
      <c r="I7" s="21"/>
      <c r="J7" s="21"/>
      <c r="K7" s="21" t="s">
        <v>8</v>
      </c>
      <c r="L7" s="21"/>
      <c r="M7" s="21"/>
      <c r="N7" s="21" t="s">
        <v>9</v>
      </c>
      <c r="O7" s="21"/>
      <c r="P7" s="21"/>
      <c r="Q7" s="21" t="s">
        <v>10</v>
      </c>
      <c r="R7" s="21"/>
      <c r="S7" s="21"/>
    </row>
    <row r="8" spans="1:19" ht="114.75" customHeight="1" x14ac:dyDescent="0.25">
      <c r="A8" s="27"/>
      <c r="B8" s="21"/>
      <c r="C8" s="21"/>
      <c r="D8" s="21"/>
      <c r="E8" s="6" t="s">
        <v>11</v>
      </c>
      <c r="F8" s="6" t="s">
        <v>12</v>
      </c>
      <c r="G8" s="6" t="s">
        <v>13</v>
      </c>
      <c r="H8" s="6" t="s">
        <v>11</v>
      </c>
      <c r="I8" s="6" t="s">
        <v>12</v>
      </c>
      <c r="J8" s="6" t="s">
        <v>13</v>
      </c>
      <c r="K8" s="6" t="s">
        <v>11</v>
      </c>
      <c r="L8" s="6" t="s">
        <v>12</v>
      </c>
      <c r="M8" s="6" t="s">
        <v>13</v>
      </c>
      <c r="N8" s="6" t="s">
        <v>11</v>
      </c>
      <c r="O8" s="6" t="s">
        <v>12</v>
      </c>
      <c r="P8" s="6" t="s">
        <v>13</v>
      </c>
      <c r="Q8" s="6" t="s">
        <v>11</v>
      </c>
      <c r="R8" s="6" t="s">
        <v>12</v>
      </c>
      <c r="S8" s="6" t="s">
        <v>13</v>
      </c>
    </row>
    <row r="9" spans="1:19" ht="15.75" x14ac:dyDescent="0.25">
      <c r="A9" s="16">
        <v>1</v>
      </c>
      <c r="B9" s="16" t="s">
        <v>17</v>
      </c>
      <c r="C9" s="16"/>
      <c r="D9" s="8">
        <v>20</v>
      </c>
      <c r="E9" s="8">
        <v>5</v>
      </c>
      <c r="F9" s="8">
        <v>6</v>
      </c>
      <c r="G9" s="8">
        <v>9</v>
      </c>
      <c r="H9" s="8">
        <v>5</v>
      </c>
      <c r="I9" s="8">
        <v>6</v>
      </c>
      <c r="J9" s="8">
        <v>9</v>
      </c>
      <c r="K9" s="8">
        <v>5</v>
      </c>
      <c r="L9" s="8">
        <v>6</v>
      </c>
      <c r="M9" s="8">
        <v>11</v>
      </c>
      <c r="N9" s="8">
        <v>4</v>
      </c>
      <c r="O9" s="8">
        <v>7</v>
      </c>
      <c r="P9" s="8">
        <v>11</v>
      </c>
      <c r="Q9" s="8">
        <v>5</v>
      </c>
      <c r="R9" s="8">
        <v>6</v>
      </c>
      <c r="S9" s="8">
        <v>11</v>
      </c>
    </row>
    <row r="10" spans="1:19" ht="15.75" x14ac:dyDescent="0.25">
      <c r="A10" s="17">
        <v>2</v>
      </c>
      <c r="B10" s="17"/>
      <c r="C10" s="1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15.75" x14ac:dyDescent="0.25">
      <c r="A11" s="22" t="s">
        <v>15</v>
      </c>
      <c r="B11" s="23"/>
      <c r="C11" s="24"/>
      <c r="D11" s="8">
        <f t="shared" ref="D11:S11" si="0">SUM(D9:D10)</f>
        <v>20</v>
      </c>
      <c r="E11" s="8">
        <f t="shared" si="0"/>
        <v>5</v>
      </c>
      <c r="F11" s="8">
        <f t="shared" si="0"/>
        <v>6</v>
      </c>
      <c r="G11" s="8">
        <f t="shared" si="0"/>
        <v>9</v>
      </c>
      <c r="H11" s="8">
        <f t="shared" si="0"/>
        <v>5</v>
      </c>
      <c r="I11" s="8">
        <f t="shared" si="0"/>
        <v>6</v>
      </c>
      <c r="J11" s="8">
        <f t="shared" si="0"/>
        <v>9</v>
      </c>
      <c r="K11" s="8">
        <f t="shared" si="0"/>
        <v>5</v>
      </c>
      <c r="L11" s="8">
        <f t="shared" si="0"/>
        <v>6</v>
      </c>
      <c r="M11" s="8">
        <f t="shared" si="0"/>
        <v>11</v>
      </c>
      <c r="N11" s="8">
        <f t="shared" si="0"/>
        <v>4</v>
      </c>
      <c r="O11" s="8">
        <f t="shared" si="0"/>
        <v>7</v>
      </c>
      <c r="P11" s="8">
        <f t="shared" si="0"/>
        <v>11</v>
      </c>
      <c r="Q11" s="8">
        <f t="shared" si="0"/>
        <v>5</v>
      </c>
      <c r="R11" s="8">
        <f t="shared" si="0"/>
        <v>6</v>
      </c>
      <c r="S11" s="8">
        <f t="shared" si="0"/>
        <v>11</v>
      </c>
    </row>
    <row r="12" spans="1:19" ht="21.75" customHeight="1" x14ac:dyDescent="0.25">
      <c r="A12" s="25" t="s">
        <v>16</v>
      </c>
      <c r="B12" s="26"/>
      <c r="C12" s="26"/>
      <c r="D12" s="18">
        <f>D11*100/D11</f>
        <v>100</v>
      </c>
      <c r="E12" s="13">
        <f>E11*100/D11</f>
        <v>25</v>
      </c>
      <c r="F12" s="13">
        <f>F11*100/D11</f>
        <v>30</v>
      </c>
      <c r="G12" s="13">
        <f>G11*100/D11</f>
        <v>45</v>
      </c>
      <c r="H12" s="13">
        <f>H11*100/D11</f>
        <v>25</v>
      </c>
      <c r="I12" s="13">
        <f>I11*100/D11</f>
        <v>30</v>
      </c>
      <c r="J12" s="13">
        <f>J11*100/D11</f>
        <v>45</v>
      </c>
      <c r="K12" s="13">
        <f>K11*100/D11</f>
        <v>25</v>
      </c>
      <c r="L12" s="13">
        <f>L11*100/D11</f>
        <v>30</v>
      </c>
      <c r="M12" s="13">
        <f>M11*100/D11</f>
        <v>55</v>
      </c>
      <c r="N12" s="13">
        <f>N11*100/D11</f>
        <v>20</v>
      </c>
      <c r="O12" s="13">
        <f>O11*100/D11</f>
        <v>35</v>
      </c>
      <c r="P12" s="13">
        <f>P11*100/D11</f>
        <v>55</v>
      </c>
      <c r="Q12" s="13">
        <f>Q11*100/D11</f>
        <v>25</v>
      </c>
      <c r="R12" s="13">
        <f>R11*100/D11</f>
        <v>30</v>
      </c>
      <c r="S12" s="13">
        <f>S11*100/D11</f>
        <v>55</v>
      </c>
    </row>
  </sheetData>
  <mergeCells count="14">
    <mergeCell ref="Q7:S7"/>
    <mergeCell ref="A11:C11"/>
    <mergeCell ref="A12:C12"/>
    <mergeCell ref="A7:A8"/>
    <mergeCell ref="B7:B8"/>
    <mergeCell ref="C7:C8"/>
    <mergeCell ref="D7:D8"/>
    <mergeCell ref="A2:C2"/>
    <mergeCell ref="I2:M2"/>
    <mergeCell ref="I4:O4"/>
    <mergeCell ref="E7:G7"/>
    <mergeCell ref="H7:J7"/>
    <mergeCell ref="K7:M7"/>
    <mergeCell ref="N7:P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13"/>
  <sheetViews>
    <sheetView workbookViewId="0">
      <selection activeCell="E10" sqref="E10:P10"/>
    </sheetView>
  </sheetViews>
  <sheetFormatPr defaultRowHeight="15" x14ac:dyDescent="0.25"/>
  <cols>
    <col min="2" max="2" width="23.140625" customWidth="1"/>
    <col min="5" max="5" width="12.28515625" customWidth="1"/>
  </cols>
  <sheetData>
    <row r="2" spans="1:40" ht="15.75" x14ac:dyDescent="0.25">
      <c r="A2" s="31"/>
      <c r="B2" s="32" t="s">
        <v>31</v>
      </c>
      <c r="C2" s="32"/>
      <c r="D2" s="32"/>
      <c r="E2" s="32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4" t="s">
        <v>32</v>
      </c>
      <c r="S2" s="34"/>
      <c r="T2" s="34"/>
      <c r="U2" s="34"/>
      <c r="V2" s="34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5"/>
      <c r="AJ2" s="35"/>
      <c r="AK2" s="35"/>
      <c r="AL2" s="35"/>
      <c r="AM2" s="36" t="s">
        <v>33</v>
      </c>
      <c r="AN2" s="36"/>
    </row>
    <row r="3" spans="1:40" ht="15.75" x14ac:dyDescent="0.25">
      <c r="A3" s="35"/>
      <c r="B3" s="34" t="s">
        <v>34</v>
      </c>
      <c r="C3" s="34"/>
      <c r="D3" s="34"/>
      <c r="E3" s="34"/>
      <c r="F3" s="34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4" t="s">
        <v>35</v>
      </c>
      <c r="S3" s="34"/>
      <c r="T3" s="34"/>
      <c r="U3" s="34"/>
      <c r="V3" s="34"/>
      <c r="W3" s="34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</row>
    <row r="4" spans="1:40" ht="15.75" x14ac:dyDescent="0.25">
      <c r="A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7" t="s">
        <v>36</v>
      </c>
      <c r="S4" s="37"/>
      <c r="T4" s="37"/>
      <c r="U4" s="37"/>
      <c r="V4" s="37"/>
      <c r="W4" s="37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K4" s="35"/>
      <c r="AL4" s="35"/>
      <c r="AM4" s="35"/>
      <c r="AN4" s="35"/>
    </row>
    <row r="5" spans="1:40" ht="15.75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</row>
    <row r="6" spans="1:40" ht="15.75" x14ac:dyDescent="0.25">
      <c r="A6" s="35"/>
      <c r="B6" s="39"/>
      <c r="C6" s="39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</row>
    <row r="7" spans="1:40" ht="15.75" customHeight="1" x14ac:dyDescent="0.25">
      <c r="A7" s="40" t="s">
        <v>2</v>
      </c>
      <c r="B7" s="41" t="s">
        <v>3</v>
      </c>
      <c r="C7" s="41" t="s">
        <v>4</v>
      </c>
      <c r="D7" s="41" t="s">
        <v>5</v>
      </c>
      <c r="E7" s="41" t="s">
        <v>6</v>
      </c>
      <c r="F7" s="41"/>
      <c r="G7" s="41"/>
      <c r="H7" s="42" t="s">
        <v>7</v>
      </c>
      <c r="I7" s="43"/>
      <c r="J7" s="43"/>
      <c r="K7" s="43"/>
      <c r="L7" s="43"/>
      <c r="M7" s="43"/>
      <c r="N7" s="43"/>
      <c r="O7" s="43"/>
      <c r="P7" s="43"/>
      <c r="Q7" s="43"/>
      <c r="R7" s="43"/>
      <c r="S7" s="44"/>
      <c r="T7" s="41" t="s">
        <v>8</v>
      </c>
      <c r="U7" s="41"/>
      <c r="V7" s="41"/>
      <c r="W7" s="42" t="s">
        <v>9</v>
      </c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4"/>
      <c r="AL7" s="41" t="s">
        <v>10</v>
      </c>
      <c r="AM7" s="41"/>
      <c r="AN7" s="41"/>
    </row>
    <row r="8" spans="1:40" ht="15.75" customHeight="1" x14ac:dyDescent="0.25">
      <c r="A8" s="40"/>
      <c r="B8" s="41"/>
      <c r="C8" s="41"/>
      <c r="D8" s="41"/>
      <c r="E8" s="45" t="s">
        <v>11</v>
      </c>
      <c r="F8" s="45" t="s">
        <v>12</v>
      </c>
      <c r="G8" s="45" t="s">
        <v>13</v>
      </c>
      <c r="H8" s="46" t="s">
        <v>37</v>
      </c>
      <c r="I8" s="47"/>
      <c r="J8" s="48"/>
      <c r="K8" s="49" t="s">
        <v>38</v>
      </c>
      <c r="L8" s="50"/>
      <c r="M8" s="51"/>
      <c r="N8" s="52" t="s">
        <v>39</v>
      </c>
      <c r="O8" s="53"/>
      <c r="P8" s="54"/>
      <c r="Q8" s="55" t="s">
        <v>40</v>
      </c>
      <c r="R8" s="56"/>
      <c r="S8" s="57"/>
      <c r="T8" s="45" t="s">
        <v>11</v>
      </c>
      <c r="U8" s="45" t="s">
        <v>12</v>
      </c>
      <c r="V8" s="45" t="s">
        <v>13</v>
      </c>
      <c r="W8" s="58" t="s">
        <v>41</v>
      </c>
      <c r="X8" s="58"/>
      <c r="Y8" s="58"/>
      <c r="Z8" s="58" t="s">
        <v>42</v>
      </c>
      <c r="AA8" s="58"/>
      <c r="AB8" s="58"/>
      <c r="AC8" s="40" t="s">
        <v>43</v>
      </c>
      <c r="AD8" s="40"/>
      <c r="AE8" s="40"/>
      <c r="AF8" s="40" t="s">
        <v>44</v>
      </c>
      <c r="AG8" s="40"/>
      <c r="AH8" s="40"/>
      <c r="AI8" s="56" t="s">
        <v>45</v>
      </c>
      <c r="AJ8" s="56"/>
      <c r="AK8" s="57"/>
      <c r="AL8" s="45" t="s">
        <v>11</v>
      </c>
      <c r="AM8" s="45" t="s">
        <v>12</v>
      </c>
      <c r="AN8" s="45" t="s">
        <v>13</v>
      </c>
    </row>
    <row r="9" spans="1:40" ht="126.75" customHeight="1" x14ac:dyDescent="0.25">
      <c r="A9" s="40"/>
      <c r="B9" s="41"/>
      <c r="C9" s="41"/>
      <c r="D9" s="41"/>
      <c r="E9" s="59"/>
      <c r="F9" s="59"/>
      <c r="G9" s="59"/>
      <c r="H9" s="60" t="s">
        <v>11</v>
      </c>
      <c r="I9" s="60" t="s">
        <v>12</v>
      </c>
      <c r="J9" s="60" t="s">
        <v>13</v>
      </c>
      <c r="K9" s="60" t="s">
        <v>11</v>
      </c>
      <c r="L9" s="60" t="s">
        <v>12</v>
      </c>
      <c r="M9" s="60" t="s">
        <v>13</v>
      </c>
      <c r="N9" s="60" t="s">
        <v>11</v>
      </c>
      <c r="O9" s="60" t="s">
        <v>12</v>
      </c>
      <c r="P9" s="60" t="s">
        <v>13</v>
      </c>
      <c r="Q9" s="60" t="s">
        <v>11</v>
      </c>
      <c r="R9" s="60" t="s">
        <v>12</v>
      </c>
      <c r="S9" s="60" t="s">
        <v>13</v>
      </c>
      <c r="T9" s="59"/>
      <c r="U9" s="59"/>
      <c r="V9" s="59"/>
      <c r="W9" s="60" t="s">
        <v>11</v>
      </c>
      <c r="X9" s="60" t="s">
        <v>12</v>
      </c>
      <c r="Y9" s="60" t="s">
        <v>13</v>
      </c>
      <c r="Z9" s="60" t="s">
        <v>11</v>
      </c>
      <c r="AA9" s="60" t="s">
        <v>12</v>
      </c>
      <c r="AB9" s="60" t="s">
        <v>13</v>
      </c>
      <c r="AC9" s="60" t="s">
        <v>11</v>
      </c>
      <c r="AD9" s="60" t="s">
        <v>12</v>
      </c>
      <c r="AE9" s="60" t="s">
        <v>13</v>
      </c>
      <c r="AF9" s="60" t="s">
        <v>11</v>
      </c>
      <c r="AG9" s="60" t="s">
        <v>12</v>
      </c>
      <c r="AH9" s="60" t="s">
        <v>13</v>
      </c>
      <c r="AI9" s="60" t="s">
        <v>11</v>
      </c>
      <c r="AJ9" s="60" t="s">
        <v>12</v>
      </c>
      <c r="AK9" s="60" t="s">
        <v>13</v>
      </c>
      <c r="AL9" s="59"/>
      <c r="AM9" s="59"/>
      <c r="AN9" s="59"/>
    </row>
    <row r="10" spans="1:40" ht="15.75" x14ac:dyDescent="0.25">
      <c r="A10" s="61">
        <v>1</v>
      </c>
      <c r="B10" s="61" t="s">
        <v>46</v>
      </c>
      <c r="C10" s="61"/>
      <c r="D10" s="61">
        <v>19</v>
      </c>
      <c r="E10" s="61">
        <v>3</v>
      </c>
      <c r="F10" s="61">
        <v>6</v>
      </c>
      <c r="G10" s="61">
        <v>12</v>
      </c>
      <c r="H10" s="61">
        <v>3</v>
      </c>
      <c r="I10" s="61">
        <v>6</v>
      </c>
      <c r="J10" s="61">
        <v>10</v>
      </c>
      <c r="K10" s="61">
        <v>4</v>
      </c>
      <c r="L10" s="61">
        <v>7</v>
      </c>
      <c r="M10" s="61">
        <v>8</v>
      </c>
      <c r="N10" s="61">
        <v>3</v>
      </c>
      <c r="O10" s="61">
        <v>6</v>
      </c>
      <c r="P10" s="61">
        <v>12</v>
      </c>
      <c r="Q10" s="61">
        <v>3</v>
      </c>
      <c r="R10" s="61">
        <v>6</v>
      </c>
      <c r="S10" s="61">
        <v>10</v>
      </c>
      <c r="T10" s="61">
        <v>4</v>
      </c>
      <c r="U10" s="61">
        <v>7</v>
      </c>
      <c r="V10" s="61">
        <v>8</v>
      </c>
      <c r="W10" s="61">
        <v>3</v>
      </c>
      <c r="X10" s="61">
        <v>6</v>
      </c>
      <c r="Y10" s="61">
        <v>12</v>
      </c>
      <c r="Z10" s="61">
        <v>3</v>
      </c>
      <c r="AA10" s="61">
        <v>6</v>
      </c>
      <c r="AB10" s="61">
        <v>10</v>
      </c>
      <c r="AC10" s="61">
        <v>4</v>
      </c>
      <c r="AD10" s="61">
        <v>7</v>
      </c>
      <c r="AE10" s="61">
        <v>8</v>
      </c>
      <c r="AF10" s="61">
        <v>3</v>
      </c>
      <c r="AG10" s="61">
        <v>6</v>
      </c>
      <c r="AH10" s="61">
        <v>12</v>
      </c>
      <c r="AI10" s="61">
        <v>3</v>
      </c>
      <c r="AJ10" s="61">
        <v>6</v>
      </c>
      <c r="AK10" s="61">
        <v>10</v>
      </c>
      <c r="AL10" s="61">
        <v>4</v>
      </c>
      <c r="AM10" s="61">
        <v>7</v>
      </c>
      <c r="AN10" s="61">
        <v>8</v>
      </c>
    </row>
    <row r="11" spans="1:40" ht="15.75" x14ac:dyDescent="0.25">
      <c r="A11" s="61">
        <v>2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</row>
    <row r="12" spans="1:40" ht="15.75" x14ac:dyDescent="0.25">
      <c r="A12" s="62" t="s">
        <v>15</v>
      </c>
      <c r="B12" s="63"/>
      <c r="C12" s="64"/>
      <c r="D12" s="65">
        <v>19</v>
      </c>
      <c r="E12" s="61">
        <v>3</v>
      </c>
      <c r="F12" s="61">
        <v>6</v>
      </c>
      <c r="G12" s="61">
        <v>12</v>
      </c>
      <c r="H12" s="61">
        <v>3</v>
      </c>
      <c r="I12" s="61">
        <v>6</v>
      </c>
      <c r="J12" s="61">
        <v>10</v>
      </c>
      <c r="K12" s="61">
        <v>4</v>
      </c>
      <c r="L12" s="61">
        <v>7</v>
      </c>
      <c r="M12" s="61">
        <v>8</v>
      </c>
      <c r="N12" s="61">
        <v>3</v>
      </c>
      <c r="O12" s="61">
        <v>6</v>
      </c>
      <c r="P12" s="61">
        <v>12</v>
      </c>
      <c r="Q12" s="61">
        <v>3</v>
      </c>
      <c r="R12" s="61">
        <v>6</v>
      </c>
      <c r="S12" s="61">
        <v>10</v>
      </c>
      <c r="T12" s="61">
        <v>4</v>
      </c>
      <c r="U12" s="61">
        <v>7</v>
      </c>
      <c r="V12" s="61">
        <v>8</v>
      </c>
      <c r="W12" s="61">
        <v>3</v>
      </c>
      <c r="X12" s="61">
        <v>6</v>
      </c>
      <c r="Y12" s="61">
        <v>12</v>
      </c>
      <c r="Z12" s="61">
        <v>3</v>
      </c>
      <c r="AA12" s="61">
        <v>6</v>
      </c>
      <c r="AB12" s="61">
        <v>10</v>
      </c>
      <c r="AC12" s="61">
        <v>4</v>
      </c>
      <c r="AD12" s="61">
        <v>7</v>
      </c>
      <c r="AE12" s="61">
        <v>8</v>
      </c>
      <c r="AF12" s="61">
        <v>3</v>
      </c>
      <c r="AG12" s="61">
        <v>6</v>
      </c>
      <c r="AH12" s="61">
        <v>12</v>
      </c>
      <c r="AI12" s="61">
        <v>3</v>
      </c>
      <c r="AJ12" s="61">
        <v>6</v>
      </c>
      <c r="AK12" s="61">
        <v>10</v>
      </c>
      <c r="AL12" s="61">
        <v>4</v>
      </c>
      <c r="AM12" s="61">
        <v>7</v>
      </c>
      <c r="AN12" s="61">
        <v>8</v>
      </c>
    </row>
    <row r="13" spans="1:40" ht="18.75" customHeight="1" x14ac:dyDescent="0.25">
      <c r="A13" s="66" t="s">
        <v>16</v>
      </c>
      <c r="B13" s="66"/>
      <c r="C13" s="66"/>
      <c r="D13" s="67">
        <f>D12*100/D12</f>
        <v>100</v>
      </c>
      <c r="E13" s="61">
        <f>E12*100/D12</f>
        <v>15.789473684210526</v>
      </c>
      <c r="F13" s="61">
        <f>F12*100/D12</f>
        <v>31.578947368421051</v>
      </c>
      <c r="G13" s="61">
        <f>G12*100/D12</f>
        <v>63.157894736842103</v>
      </c>
      <c r="H13" s="61">
        <f>H12*100/D12</f>
        <v>15.789473684210526</v>
      </c>
      <c r="I13" s="61">
        <f>I12*100/D12</f>
        <v>31.578947368421051</v>
      </c>
      <c r="J13" s="61">
        <f>J12*100/D12</f>
        <v>52.631578947368418</v>
      </c>
      <c r="K13" s="61">
        <f>K12*100/D12</f>
        <v>21.05263157894737</v>
      </c>
      <c r="L13" s="61">
        <f>L12*100/D12</f>
        <v>36.842105263157897</v>
      </c>
      <c r="M13" s="61">
        <f>M12*100/D12</f>
        <v>42.10526315789474</v>
      </c>
      <c r="N13" s="61">
        <f>N12*100/D12</f>
        <v>15.789473684210526</v>
      </c>
      <c r="O13" s="61">
        <f>O12*100/D12</f>
        <v>31.578947368421051</v>
      </c>
      <c r="P13" s="61">
        <f>P12*100/D12</f>
        <v>63.157894736842103</v>
      </c>
      <c r="Q13" s="61">
        <f>Q12*100/D12</f>
        <v>15.789473684210526</v>
      </c>
      <c r="R13" s="61">
        <f>R12*100/D12</f>
        <v>31.578947368421051</v>
      </c>
      <c r="S13" s="61">
        <f>S12*100/D12</f>
        <v>52.631578947368418</v>
      </c>
      <c r="T13" s="61">
        <f>T12*100/D12</f>
        <v>21.05263157894737</v>
      </c>
      <c r="U13" s="61">
        <f>U12*100/D12</f>
        <v>36.842105263157897</v>
      </c>
      <c r="V13" s="61">
        <f>V12*100/D12</f>
        <v>42.10526315789474</v>
      </c>
      <c r="W13" s="61">
        <f>W12*100/D12</f>
        <v>15.789473684210526</v>
      </c>
      <c r="X13" s="61">
        <f>X12*100/D12</f>
        <v>31.578947368421051</v>
      </c>
      <c r="Y13" s="61">
        <f>Y12*100/D12</f>
        <v>63.157894736842103</v>
      </c>
      <c r="Z13" s="61">
        <f>Z12*100/D12</f>
        <v>15.789473684210526</v>
      </c>
      <c r="AA13" s="61">
        <f>AA12*100/D12</f>
        <v>31.578947368421051</v>
      </c>
      <c r="AB13" s="61">
        <f>AB12*100/D12</f>
        <v>52.631578947368418</v>
      </c>
      <c r="AC13" s="61">
        <f>AC12*100/D12</f>
        <v>21.05263157894737</v>
      </c>
      <c r="AD13" s="61">
        <f>AD12*100/D12</f>
        <v>36.842105263157897</v>
      </c>
      <c r="AE13" s="61">
        <f>AE12*100/D12</f>
        <v>42.10526315789474</v>
      </c>
      <c r="AF13" s="61">
        <f>AF12*100/D12</f>
        <v>15.789473684210526</v>
      </c>
      <c r="AG13" s="61">
        <f>AG12*100/D12</f>
        <v>31.578947368421051</v>
      </c>
      <c r="AH13" s="61">
        <f>AH12*100/D12</f>
        <v>63.157894736842103</v>
      </c>
      <c r="AI13" s="61">
        <f>AI12*100/D12</f>
        <v>15.789473684210526</v>
      </c>
      <c r="AJ13" s="61">
        <f>AJ12*100/D12</f>
        <v>31.578947368421051</v>
      </c>
      <c r="AK13" s="61">
        <f>AK12*100/D12</f>
        <v>52.631578947368418</v>
      </c>
      <c r="AL13" s="61">
        <f>AL12*100/D12</f>
        <v>21.05263157894737</v>
      </c>
      <c r="AM13" s="61">
        <f>AM12*100/D12</f>
        <v>36.842105263157897</v>
      </c>
      <c r="AN13" s="61">
        <f>AN12*100/D12</f>
        <v>42.10526315789474</v>
      </c>
    </row>
  </sheetData>
  <mergeCells count="34">
    <mergeCell ref="A12:C12"/>
    <mergeCell ref="A13:C13"/>
    <mergeCell ref="AC8:AE8"/>
    <mergeCell ref="AF8:AH8"/>
    <mergeCell ref="AI8:AK8"/>
    <mergeCell ref="AL8:AL9"/>
    <mergeCell ref="AM8:AM9"/>
    <mergeCell ref="AN8:AN9"/>
    <mergeCell ref="Q8:S8"/>
    <mergeCell ref="T8:T9"/>
    <mergeCell ref="U8:U9"/>
    <mergeCell ref="V8:V9"/>
    <mergeCell ref="W8:Y8"/>
    <mergeCell ref="Z8:AB8"/>
    <mergeCell ref="H7:S7"/>
    <mergeCell ref="T7:V7"/>
    <mergeCell ref="W7:AK7"/>
    <mergeCell ref="AL7:AN7"/>
    <mergeCell ref="E8:E9"/>
    <mergeCell ref="F8:F9"/>
    <mergeCell ref="G8:G9"/>
    <mergeCell ref="H8:J8"/>
    <mergeCell ref="K8:M8"/>
    <mergeCell ref="N8:P8"/>
    <mergeCell ref="R2:V2"/>
    <mergeCell ref="AM2:AN2"/>
    <mergeCell ref="B3:F3"/>
    <mergeCell ref="R3:W3"/>
    <mergeCell ref="R4:W4"/>
    <mergeCell ref="A7:A9"/>
    <mergeCell ref="B7:B9"/>
    <mergeCell ref="C7:C9"/>
    <mergeCell ref="D7:D9"/>
    <mergeCell ref="E7:G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2"/>
  <sheetViews>
    <sheetView workbookViewId="0">
      <selection activeCell="E9" sqref="E9:M9"/>
    </sheetView>
  </sheetViews>
  <sheetFormatPr defaultColWidth="9" defaultRowHeight="15" x14ac:dyDescent="0.25"/>
  <cols>
    <col min="2" max="2" width="17" customWidth="1"/>
    <col min="3" max="3" width="21.42578125" customWidth="1"/>
    <col min="4" max="4" width="13.140625" customWidth="1"/>
    <col min="5" max="5" width="13" customWidth="1"/>
    <col min="6" max="6" width="12.7109375" customWidth="1"/>
    <col min="7" max="7" width="12.42578125" customWidth="1"/>
    <col min="8" max="8" width="12" customWidth="1"/>
    <col min="9" max="9" width="12.5703125" customWidth="1"/>
    <col min="10" max="10" width="13.140625" customWidth="1"/>
    <col min="11" max="11" width="12.28515625" customWidth="1"/>
    <col min="12" max="12" width="12.42578125" customWidth="1"/>
    <col min="13" max="13" width="12.28515625" customWidth="1"/>
    <col min="14" max="14" width="12.140625" customWidth="1"/>
    <col min="15" max="15" width="12.42578125" customWidth="1"/>
    <col min="16" max="16" width="12.140625" customWidth="1"/>
    <col min="17" max="17" width="12.85546875" customWidth="1"/>
    <col min="18" max="18" width="11.42578125" customWidth="1"/>
    <col min="19" max="19" width="11.5703125" customWidth="1"/>
  </cols>
  <sheetData>
    <row r="2" spans="1:19" ht="15.75" x14ac:dyDescent="0.25">
      <c r="A2" s="19" t="s">
        <v>0</v>
      </c>
      <c r="B2" s="19"/>
      <c r="C2" s="19"/>
      <c r="D2" s="2"/>
      <c r="E2" s="2"/>
      <c r="F2" s="2"/>
      <c r="G2" s="2"/>
      <c r="H2" s="2"/>
      <c r="I2" s="20"/>
      <c r="J2" s="20"/>
      <c r="K2" s="20"/>
      <c r="L2" s="20"/>
      <c r="M2" s="20"/>
      <c r="N2" s="3"/>
      <c r="O2" s="3"/>
      <c r="P2" s="3"/>
      <c r="Q2" s="3"/>
      <c r="R2" s="3"/>
      <c r="S2" s="3"/>
    </row>
    <row r="3" spans="1:1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75" x14ac:dyDescent="0.25">
      <c r="A4" s="3"/>
      <c r="G4" s="3"/>
      <c r="H4" s="3"/>
      <c r="I4" s="20" t="s">
        <v>18</v>
      </c>
      <c r="J4" s="20"/>
      <c r="K4" s="20"/>
      <c r="L4" s="20"/>
      <c r="M4" s="20"/>
      <c r="N4" s="20"/>
      <c r="O4" s="20"/>
      <c r="P4" s="3"/>
      <c r="Q4" s="3"/>
      <c r="R4" s="3"/>
      <c r="S4" s="3"/>
    </row>
    <row r="5" spans="1:19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.75" x14ac:dyDescent="0.25">
      <c r="A6" s="3"/>
      <c r="B6" s="5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.75" customHeight="1" x14ac:dyDescent="0.25">
      <c r="A7" s="27" t="s">
        <v>2</v>
      </c>
      <c r="B7" s="21" t="s">
        <v>3</v>
      </c>
      <c r="C7" s="21" t="s">
        <v>4</v>
      </c>
      <c r="D7" s="21" t="s">
        <v>5</v>
      </c>
      <c r="E7" s="21" t="s">
        <v>6</v>
      </c>
      <c r="F7" s="21"/>
      <c r="G7" s="21"/>
      <c r="H7" s="21" t="s">
        <v>7</v>
      </c>
      <c r="I7" s="21"/>
      <c r="J7" s="21"/>
      <c r="K7" s="21" t="s">
        <v>8</v>
      </c>
      <c r="L7" s="21"/>
      <c r="M7" s="21"/>
      <c r="N7" s="21" t="s">
        <v>9</v>
      </c>
      <c r="O7" s="21"/>
      <c r="P7" s="21"/>
      <c r="Q7" s="21" t="s">
        <v>10</v>
      </c>
      <c r="R7" s="21"/>
      <c r="S7" s="21"/>
    </row>
    <row r="8" spans="1:19" ht="115.5" customHeight="1" x14ac:dyDescent="0.25">
      <c r="A8" s="27"/>
      <c r="B8" s="21"/>
      <c r="C8" s="21"/>
      <c r="D8" s="21"/>
      <c r="E8" s="6" t="s">
        <v>11</v>
      </c>
      <c r="F8" s="6" t="s">
        <v>12</v>
      </c>
      <c r="G8" s="6" t="s">
        <v>13</v>
      </c>
      <c r="H8" s="6" t="s">
        <v>11</v>
      </c>
      <c r="I8" s="6" t="s">
        <v>12</v>
      </c>
      <c r="J8" s="6" t="s">
        <v>13</v>
      </c>
      <c r="K8" s="6" t="s">
        <v>11</v>
      </c>
      <c r="L8" s="6" t="s">
        <v>12</v>
      </c>
      <c r="M8" s="6" t="s">
        <v>13</v>
      </c>
      <c r="N8" s="6" t="s">
        <v>11</v>
      </c>
      <c r="O8" s="6" t="s">
        <v>12</v>
      </c>
      <c r="P8" s="6" t="s">
        <v>13</v>
      </c>
      <c r="Q8" s="6" t="s">
        <v>11</v>
      </c>
      <c r="R8" s="6" t="s">
        <v>12</v>
      </c>
      <c r="S8" s="6" t="s">
        <v>13</v>
      </c>
    </row>
    <row r="9" spans="1:19" ht="15.75" x14ac:dyDescent="0.25">
      <c r="A9" s="16">
        <v>1</v>
      </c>
      <c r="B9" s="16" t="s">
        <v>14</v>
      </c>
      <c r="C9" s="16"/>
      <c r="D9" s="8">
        <v>25</v>
      </c>
      <c r="E9" s="8">
        <v>7</v>
      </c>
      <c r="F9" s="8">
        <v>8</v>
      </c>
      <c r="G9" s="8">
        <v>10</v>
      </c>
      <c r="H9" s="8">
        <v>7</v>
      </c>
      <c r="I9" s="8">
        <v>8</v>
      </c>
      <c r="J9" s="8">
        <v>10</v>
      </c>
      <c r="K9" s="8">
        <v>7</v>
      </c>
      <c r="L9" s="8">
        <v>8</v>
      </c>
      <c r="M9" s="8">
        <v>10</v>
      </c>
      <c r="N9" s="8">
        <v>7</v>
      </c>
      <c r="O9" s="8">
        <v>8</v>
      </c>
      <c r="P9" s="8">
        <v>10</v>
      </c>
      <c r="Q9" s="8">
        <v>7</v>
      </c>
      <c r="R9" s="8">
        <v>8</v>
      </c>
      <c r="S9" s="8">
        <v>10</v>
      </c>
    </row>
    <row r="10" spans="1:19" ht="15.75" x14ac:dyDescent="0.25">
      <c r="A10" s="17"/>
      <c r="B10" s="17"/>
      <c r="C10" s="1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15.75" x14ac:dyDescent="0.25">
      <c r="A11" s="22" t="s">
        <v>15</v>
      </c>
      <c r="B11" s="23"/>
      <c r="C11" s="24"/>
      <c r="D11" s="8">
        <f t="shared" ref="D11:S11" si="0">SUM(D9:D10)</f>
        <v>25</v>
      </c>
      <c r="E11" s="8">
        <f t="shared" si="0"/>
        <v>7</v>
      </c>
      <c r="F11" s="8">
        <f t="shared" si="0"/>
        <v>8</v>
      </c>
      <c r="G11" s="8">
        <f t="shared" si="0"/>
        <v>10</v>
      </c>
      <c r="H11" s="8">
        <f t="shared" si="0"/>
        <v>7</v>
      </c>
      <c r="I11" s="8">
        <f t="shared" si="0"/>
        <v>8</v>
      </c>
      <c r="J11" s="8">
        <f t="shared" si="0"/>
        <v>10</v>
      </c>
      <c r="K11" s="8">
        <f t="shared" si="0"/>
        <v>7</v>
      </c>
      <c r="L11" s="8">
        <f t="shared" si="0"/>
        <v>8</v>
      </c>
      <c r="M11" s="8">
        <f t="shared" si="0"/>
        <v>10</v>
      </c>
      <c r="N11" s="8">
        <f t="shared" si="0"/>
        <v>7</v>
      </c>
      <c r="O11" s="8">
        <f t="shared" si="0"/>
        <v>8</v>
      </c>
      <c r="P11" s="8">
        <f t="shared" si="0"/>
        <v>10</v>
      </c>
      <c r="Q11" s="8">
        <f t="shared" si="0"/>
        <v>7</v>
      </c>
      <c r="R11" s="8">
        <f t="shared" si="0"/>
        <v>8</v>
      </c>
      <c r="S11" s="8">
        <f t="shared" si="0"/>
        <v>10</v>
      </c>
    </row>
    <row r="12" spans="1:19" ht="18.75" customHeight="1" x14ac:dyDescent="0.25">
      <c r="A12" s="25" t="s">
        <v>16</v>
      </c>
      <c r="B12" s="26"/>
      <c r="C12" s="26"/>
      <c r="D12" s="18">
        <f>D11*100/D11</f>
        <v>100</v>
      </c>
      <c r="E12" s="13">
        <f>E11*100/D11</f>
        <v>28</v>
      </c>
      <c r="F12" s="13">
        <f>F11*100/D11</f>
        <v>32</v>
      </c>
      <c r="G12" s="13">
        <f>G11*100/D11</f>
        <v>40</v>
      </c>
      <c r="H12" s="13">
        <f>H11*100/D11</f>
        <v>28</v>
      </c>
      <c r="I12" s="13">
        <f>I11*100/D11</f>
        <v>32</v>
      </c>
      <c r="J12" s="13">
        <f>J11*100/D11</f>
        <v>40</v>
      </c>
      <c r="K12" s="13">
        <f>K11*100/D11</f>
        <v>28</v>
      </c>
      <c r="L12" s="13">
        <f>L11*100/D11</f>
        <v>32</v>
      </c>
      <c r="M12" s="13">
        <f>M11*100/D11</f>
        <v>40</v>
      </c>
      <c r="N12" s="13">
        <f>N11*100/D11</f>
        <v>28</v>
      </c>
      <c r="O12" s="13">
        <f>O11*100/D11</f>
        <v>32</v>
      </c>
      <c r="P12" s="13">
        <f>P11*100/D11</f>
        <v>40</v>
      </c>
      <c r="Q12" s="13">
        <f>Q11*100/D11</f>
        <v>28</v>
      </c>
      <c r="R12" s="13">
        <f>R11*100/D11</f>
        <v>32</v>
      </c>
      <c r="S12" s="13">
        <f>S11*100/D11</f>
        <v>40</v>
      </c>
    </row>
  </sheetData>
  <mergeCells count="14">
    <mergeCell ref="Q7:S7"/>
    <mergeCell ref="A11:C11"/>
    <mergeCell ref="A12:C12"/>
    <mergeCell ref="A7:A8"/>
    <mergeCell ref="B7:B8"/>
    <mergeCell ref="C7:C8"/>
    <mergeCell ref="D7:D8"/>
    <mergeCell ref="A2:C2"/>
    <mergeCell ref="I2:M2"/>
    <mergeCell ref="I4:O4"/>
    <mergeCell ref="E7:G7"/>
    <mergeCell ref="H7:J7"/>
    <mergeCell ref="K7:M7"/>
    <mergeCell ref="N7:P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S22" sqref="S22"/>
    </sheetView>
  </sheetViews>
  <sheetFormatPr defaultColWidth="9" defaultRowHeight="15" x14ac:dyDescent="0.25"/>
  <cols>
    <col min="1" max="1" width="19.28515625" customWidth="1"/>
    <col min="2" max="2" width="9.5703125" customWidth="1"/>
    <col min="3" max="17" width="9.28515625" customWidth="1"/>
  </cols>
  <sheetData>
    <row r="1" spans="1:23" x14ac:dyDescent="0.25">
      <c r="N1" s="28" t="s">
        <v>19</v>
      </c>
      <c r="O1" s="28"/>
    </row>
    <row r="2" spans="1:23" ht="15.75" x14ac:dyDescent="0.25">
      <c r="A2" s="1" t="s">
        <v>0</v>
      </c>
      <c r="B2" s="1"/>
      <c r="C2" s="2"/>
      <c r="E2" s="2"/>
      <c r="F2" s="2"/>
      <c r="G2" s="20" t="s">
        <v>27</v>
      </c>
      <c r="H2" s="20"/>
      <c r="I2" s="20"/>
      <c r="J2" s="20"/>
      <c r="K2" s="20"/>
      <c r="L2" s="3"/>
      <c r="M2" s="3"/>
      <c r="N2" s="3"/>
      <c r="O2" s="3"/>
    </row>
    <row r="3" spans="1:23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3" ht="15.75" x14ac:dyDescent="0.25">
      <c r="C4" s="4"/>
      <c r="E4" s="3"/>
      <c r="F4" s="3"/>
      <c r="G4" s="20" t="s">
        <v>20</v>
      </c>
      <c r="H4" s="20"/>
      <c r="I4" s="20"/>
      <c r="J4" s="20"/>
      <c r="K4" s="20"/>
      <c r="L4" s="20"/>
      <c r="M4" s="20"/>
      <c r="N4" s="3"/>
      <c r="O4" s="3"/>
      <c r="P4" s="3"/>
      <c r="Q4" s="3"/>
    </row>
    <row r="5" spans="1:23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3" ht="15.75" x14ac:dyDescent="0.25">
      <c r="A6" s="5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3" ht="15.75" customHeight="1" x14ac:dyDescent="0.25">
      <c r="A7" s="29" t="s">
        <v>21</v>
      </c>
      <c r="B7" s="21" t="s">
        <v>22</v>
      </c>
      <c r="C7" s="21" t="s">
        <v>6</v>
      </c>
      <c r="D7" s="21"/>
      <c r="E7" s="21"/>
      <c r="F7" s="21" t="s">
        <v>7</v>
      </c>
      <c r="G7" s="21"/>
      <c r="H7" s="21"/>
      <c r="I7" s="21" t="s">
        <v>8</v>
      </c>
      <c r="J7" s="21"/>
      <c r="K7" s="21"/>
      <c r="L7" s="21" t="s">
        <v>9</v>
      </c>
      <c r="M7" s="21"/>
      <c r="N7" s="21"/>
      <c r="O7" s="21" t="s">
        <v>10</v>
      </c>
      <c r="P7" s="21"/>
      <c r="Q7" s="21"/>
      <c r="R7" s="68" t="s">
        <v>48</v>
      </c>
      <c r="S7" s="68"/>
      <c r="T7" s="68"/>
      <c r="U7" s="68"/>
      <c r="V7" s="68"/>
      <c r="W7" s="68"/>
    </row>
    <row r="8" spans="1:23" ht="78.75" x14ac:dyDescent="0.25">
      <c r="A8" s="30"/>
      <c r="B8" s="21"/>
      <c r="C8" s="6" t="s">
        <v>11</v>
      </c>
      <c r="D8" s="6" t="s">
        <v>12</v>
      </c>
      <c r="E8" s="6" t="s">
        <v>13</v>
      </c>
      <c r="F8" s="6" t="s">
        <v>11</v>
      </c>
      <c r="G8" s="6" t="s">
        <v>12</v>
      </c>
      <c r="H8" s="6" t="s">
        <v>13</v>
      </c>
      <c r="I8" s="6" t="s">
        <v>11</v>
      </c>
      <c r="J8" s="6" t="s">
        <v>12</v>
      </c>
      <c r="K8" s="6" t="s">
        <v>13</v>
      </c>
      <c r="L8" s="6" t="s">
        <v>11</v>
      </c>
      <c r="M8" s="6" t="s">
        <v>12</v>
      </c>
      <c r="N8" s="6" t="s">
        <v>13</v>
      </c>
      <c r="O8" s="6" t="s">
        <v>11</v>
      </c>
      <c r="P8" s="6" t="s">
        <v>12</v>
      </c>
      <c r="Q8" s="6" t="s">
        <v>13</v>
      </c>
      <c r="R8" s="60" t="s">
        <v>11</v>
      </c>
      <c r="S8" s="60" t="s">
        <v>16</v>
      </c>
      <c r="T8" s="60" t="s">
        <v>12</v>
      </c>
      <c r="U8" s="69" t="s">
        <v>16</v>
      </c>
      <c r="V8" s="60" t="s">
        <v>13</v>
      </c>
      <c r="W8" s="60" t="s">
        <v>16</v>
      </c>
    </row>
    <row r="9" spans="1:23" ht="15.75" x14ac:dyDescent="0.25">
      <c r="A9" s="7" t="s">
        <v>23</v>
      </c>
      <c r="B9" s="8">
        <v>20</v>
      </c>
      <c r="C9" s="8">
        <v>5</v>
      </c>
      <c r="D9" s="8">
        <v>6</v>
      </c>
      <c r="E9" s="8">
        <v>9</v>
      </c>
      <c r="F9" s="8">
        <v>5</v>
      </c>
      <c r="G9" s="8">
        <v>6</v>
      </c>
      <c r="H9" s="8">
        <v>9</v>
      </c>
      <c r="I9" s="8">
        <v>5</v>
      </c>
      <c r="J9" s="8">
        <v>6</v>
      </c>
      <c r="K9" s="8">
        <v>11</v>
      </c>
      <c r="L9" s="8">
        <v>4</v>
      </c>
      <c r="M9" s="8">
        <v>7</v>
      </c>
      <c r="N9" s="8">
        <v>11</v>
      </c>
      <c r="O9" s="8">
        <v>4</v>
      </c>
      <c r="P9" s="8">
        <v>7</v>
      </c>
      <c r="Q9" s="8">
        <v>11</v>
      </c>
      <c r="R9" s="61">
        <f t="shared" ref="R9:R13" si="0">(C9+F9+I9+L9+O9)/5</f>
        <v>4.5999999999999996</v>
      </c>
      <c r="S9" s="70">
        <f>R9*100/B9</f>
        <v>22.999999999999996</v>
      </c>
      <c r="T9" s="61">
        <f t="shared" ref="T9:T13" si="1">(D9+G9+J9+M9+P9)/5</f>
        <v>6.4</v>
      </c>
      <c r="U9" s="70">
        <f>T9*100/B9</f>
        <v>32</v>
      </c>
      <c r="V9" s="71">
        <f t="shared" ref="V9:V13" si="2">(E9+H9+K9+N9+Q9)/5</f>
        <v>10.199999999999999</v>
      </c>
      <c r="W9" s="70">
        <f>V9*100/B9</f>
        <v>50.999999999999993</v>
      </c>
    </row>
    <row r="10" spans="1:23" ht="15.75" x14ac:dyDescent="0.25">
      <c r="A10" s="7" t="s">
        <v>24</v>
      </c>
      <c r="B10" s="8">
        <v>25</v>
      </c>
      <c r="C10" s="8">
        <v>7</v>
      </c>
      <c r="D10" s="8">
        <v>8</v>
      </c>
      <c r="E10" s="8">
        <v>10</v>
      </c>
      <c r="F10" s="8">
        <v>7</v>
      </c>
      <c r="G10" s="8">
        <v>8</v>
      </c>
      <c r="H10" s="8">
        <v>10</v>
      </c>
      <c r="I10" s="8">
        <v>7</v>
      </c>
      <c r="J10" s="8">
        <v>8</v>
      </c>
      <c r="K10" s="8">
        <v>10</v>
      </c>
      <c r="L10" s="8">
        <v>7</v>
      </c>
      <c r="M10" s="8">
        <v>8</v>
      </c>
      <c r="N10" s="8">
        <v>10</v>
      </c>
      <c r="O10" s="8">
        <v>7</v>
      </c>
      <c r="P10" s="8">
        <v>8</v>
      </c>
      <c r="Q10" s="8">
        <v>10</v>
      </c>
      <c r="R10" s="72">
        <f t="shared" si="0"/>
        <v>7</v>
      </c>
      <c r="S10" s="72">
        <f>R10*100/B10</f>
        <v>28</v>
      </c>
      <c r="T10" s="72">
        <f t="shared" si="1"/>
        <v>8</v>
      </c>
      <c r="U10" s="72">
        <f t="shared" ref="U10:U13" si="3">T10*100/B10</f>
        <v>32</v>
      </c>
      <c r="V10" s="73">
        <f t="shared" si="2"/>
        <v>10</v>
      </c>
      <c r="W10" s="72">
        <f t="shared" ref="W10:W13" si="4">V10*100/B10</f>
        <v>40</v>
      </c>
    </row>
    <row r="11" spans="1:23" ht="15.75" x14ac:dyDescent="0.25">
      <c r="A11" s="7" t="s">
        <v>47</v>
      </c>
      <c r="B11" s="8">
        <v>19</v>
      </c>
      <c r="C11" s="8">
        <v>3</v>
      </c>
      <c r="D11" s="8">
        <v>6</v>
      </c>
      <c r="E11" s="8">
        <v>12</v>
      </c>
      <c r="F11" s="8">
        <v>3</v>
      </c>
      <c r="G11" s="8">
        <v>6</v>
      </c>
      <c r="H11" s="8">
        <v>10</v>
      </c>
      <c r="I11" s="8">
        <v>4</v>
      </c>
      <c r="J11" s="8">
        <v>7</v>
      </c>
      <c r="K11" s="8">
        <v>8</v>
      </c>
      <c r="L11" s="8">
        <v>3</v>
      </c>
      <c r="M11" s="8">
        <v>6</v>
      </c>
      <c r="N11" s="8">
        <v>12</v>
      </c>
      <c r="O11" s="8">
        <v>3</v>
      </c>
      <c r="P11" s="8">
        <v>6</v>
      </c>
      <c r="Q11" s="8">
        <v>12</v>
      </c>
      <c r="R11" s="72">
        <f t="shared" si="0"/>
        <v>3.2</v>
      </c>
      <c r="S11" s="72">
        <f t="shared" ref="S11:S13" si="5">R11*100/B11</f>
        <v>16.842105263157894</v>
      </c>
      <c r="T11" s="72">
        <f t="shared" si="1"/>
        <v>6.2</v>
      </c>
      <c r="U11" s="72">
        <f t="shared" si="3"/>
        <v>32.631578947368418</v>
      </c>
      <c r="V11" s="73">
        <f t="shared" si="2"/>
        <v>10.8</v>
      </c>
      <c r="W11" s="72">
        <f t="shared" si="4"/>
        <v>56.842105263157897</v>
      </c>
    </row>
    <row r="12" spans="1:23" ht="15.75" x14ac:dyDescent="0.25">
      <c r="A12" s="7" t="s">
        <v>25</v>
      </c>
      <c r="B12" s="8">
        <v>25</v>
      </c>
      <c r="C12" s="8">
        <v>5</v>
      </c>
      <c r="D12" s="8">
        <v>6</v>
      </c>
      <c r="E12" s="8">
        <v>14</v>
      </c>
      <c r="F12" s="8">
        <v>5</v>
      </c>
      <c r="G12" s="8">
        <v>6</v>
      </c>
      <c r="H12" s="8">
        <v>14</v>
      </c>
      <c r="I12" s="8">
        <v>5</v>
      </c>
      <c r="J12" s="8">
        <v>6</v>
      </c>
      <c r="K12" s="8">
        <v>14</v>
      </c>
      <c r="L12" s="8">
        <v>5</v>
      </c>
      <c r="M12" s="8">
        <v>6</v>
      </c>
      <c r="N12" s="8">
        <v>14</v>
      </c>
      <c r="O12" s="8">
        <v>5</v>
      </c>
      <c r="P12" s="8">
        <v>6</v>
      </c>
      <c r="Q12" s="8">
        <v>14</v>
      </c>
      <c r="R12" s="72">
        <f>(C12+F12+I12+L12+O12)/5</f>
        <v>5</v>
      </c>
      <c r="S12" s="72">
        <f t="shared" si="5"/>
        <v>20</v>
      </c>
      <c r="T12" s="72">
        <f>(D12+G12+J12+M12+P12)/5</f>
        <v>6</v>
      </c>
      <c r="U12" s="72">
        <f t="shared" si="3"/>
        <v>24</v>
      </c>
      <c r="V12" s="73">
        <f>(E12+H12+K12+N12+Q12)/5</f>
        <v>14</v>
      </c>
      <c r="W12" s="72">
        <f t="shared" si="4"/>
        <v>56</v>
      </c>
    </row>
    <row r="13" spans="1:23" ht="15.75" x14ac:dyDescent="0.25">
      <c r="A13" s="9" t="s">
        <v>15</v>
      </c>
      <c r="B13" s="8">
        <v>85</v>
      </c>
      <c r="C13" s="8">
        <f>SUM(C9:C12)</f>
        <v>20</v>
      </c>
      <c r="D13" s="8">
        <f>SUM(D9:D12)</f>
        <v>26</v>
      </c>
      <c r="E13" s="8">
        <f>SUM(E9:E12)</f>
        <v>45</v>
      </c>
      <c r="F13" s="8">
        <f t="shared" ref="F13:Q13" si="6">SUM(F9:F12)</f>
        <v>20</v>
      </c>
      <c r="G13" s="8">
        <f t="shared" si="6"/>
        <v>26</v>
      </c>
      <c r="H13" s="8">
        <f t="shared" si="6"/>
        <v>43</v>
      </c>
      <c r="I13" s="8">
        <f t="shared" si="6"/>
        <v>21</v>
      </c>
      <c r="J13" s="8">
        <f t="shared" si="6"/>
        <v>27</v>
      </c>
      <c r="K13" s="8">
        <f t="shared" si="6"/>
        <v>43</v>
      </c>
      <c r="L13" s="8">
        <f t="shared" si="6"/>
        <v>19</v>
      </c>
      <c r="M13" s="8">
        <f t="shared" si="6"/>
        <v>27</v>
      </c>
      <c r="N13" s="8">
        <f t="shared" si="6"/>
        <v>47</v>
      </c>
      <c r="O13" s="8">
        <f t="shared" si="6"/>
        <v>19</v>
      </c>
      <c r="P13" s="8">
        <f t="shared" si="6"/>
        <v>27</v>
      </c>
      <c r="Q13" s="8">
        <f t="shared" si="6"/>
        <v>47</v>
      </c>
      <c r="R13" s="72">
        <f t="shared" si="0"/>
        <v>19.8</v>
      </c>
      <c r="S13" s="72">
        <f t="shared" si="5"/>
        <v>23.294117647058822</v>
      </c>
      <c r="T13" s="72">
        <f t="shared" si="1"/>
        <v>26.6</v>
      </c>
      <c r="U13" s="72">
        <f t="shared" si="3"/>
        <v>31.294117647058822</v>
      </c>
      <c r="V13" s="73">
        <f t="shared" si="2"/>
        <v>45</v>
      </c>
      <c r="W13" s="72">
        <f t="shared" si="4"/>
        <v>52.941176470588232</v>
      </c>
    </row>
    <row r="14" spans="1:23" ht="17.25" customHeight="1" x14ac:dyDescent="0.25">
      <c r="A14" s="10" t="s">
        <v>26</v>
      </c>
      <c r="B14" s="11">
        <f>B13*100/B13</f>
        <v>100</v>
      </c>
      <c r="C14" s="12">
        <f>C13*100/B13</f>
        <v>23.529411764705884</v>
      </c>
      <c r="D14" s="13">
        <f>D13*100/B13</f>
        <v>30.588235294117649</v>
      </c>
      <c r="E14" s="13">
        <f>E13*100/B13</f>
        <v>52.941176470588232</v>
      </c>
      <c r="F14" s="13">
        <f>F13*100/B13</f>
        <v>23.529411764705884</v>
      </c>
      <c r="G14" s="13">
        <f>G13*100/B13</f>
        <v>30.588235294117649</v>
      </c>
      <c r="H14" s="13">
        <f>H13*100/B13</f>
        <v>50.588235294117645</v>
      </c>
      <c r="I14" s="13">
        <f>I13*100/B13</f>
        <v>24.705882352941178</v>
      </c>
      <c r="J14" s="13">
        <f>J13*100/B13</f>
        <v>31.764705882352942</v>
      </c>
      <c r="K14" s="13">
        <f>K13*100/B13</f>
        <v>50.588235294117645</v>
      </c>
      <c r="L14" s="13">
        <f>L13*100/B13</f>
        <v>22.352941176470587</v>
      </c>
      <c r="M14" s="13">
        <f>M13*100/B13</f>
        <v>31.764705882352942</v>
      </c>
      <c r="N14" s="13">
        <f>N13*100/B13</f>
        <v>55.294117647058826</v>
      </c>
      <c r="O14" s="13">
        <f>O13*100/B13</f>
        <v>22.352941176470587</v>
      </c>
      <c r="P14" s="13">
        <f>P13*100/B13</f>
        <v>31.764705882352942</v>
      </c>
      <c r="Q14" s="13">
        <f>Q13*100/B13</f>
        <v>55.294117647058826</v>
      </c>
      <c r="R14" s="72"/>
      <c r="S14" s="72"/>
      <c r="T14" s="72"/>
      <c r="U14" s="72"/>
      <c r="V14" s="73"/>
      <c r="W14" s="72"/>
    </row>
    <row r="15" spans="1:23" ht="15.7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3" ht="15.7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5.7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5.7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5.7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5.7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5.7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5.7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5.7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5.7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5.7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5.7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5.7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5.7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5.7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5.7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15.75" x14ac:dyDescent="0.25">
      <c r="A31" s="1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15.75" x14ac:dyDescent="0.25">
      <c r="A32" s="1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</sheetData>
  <mergeCells count="11">
    <mergeCell ref="A7:A8"/>
    <mergeCell ref="B7:B8"/>
    <mergeCell ref="R7:W7"/>
    <mergeCell ref="N1:O1"/>
    <mergeCell ref="G2:K2"/>
    <mergeCell ref="G4:M4"/>
    <mergeCell ref="C7:E7"/>
    <mergeCell ref="F7:H7"/>
    <mergeCell ref="I7:K7"/>
    <mergeCell ref="L7:N7"/>
    <mergeCell ref="O7:Q7"/>
  </mergeCells>
  <pageMargins left="0.7" right="0.7" top="0.75" bottom="0.75" header="0.3" footer="0.3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орта топ</vt:lpstr>
      <vt:lpstr>кіші</vt:lpstr>
      <vt:lpstr>МАД</vt:lpstr>
      <vt:lpstr>ересек топ</vt:lpstr>
      <vt:lpstr>МДҰ әдіскерінің жинағы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dcterms:created xsi:type="dcterms:W3CDTF">2022-12-22T06:57:00Z</dcterms:created>
  <dcterms:modified xsi:type="dcterms:W3CDTF">2026-05-05T07:23:28Z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2CB95EBA6A1C4CBBB229CB9EF722C362_12</vt:lpwstr>
  </property>
  <property fmtid="{D5CDD505-2E9C-101B-9397-08002B2CF9AE}" pid="3" name="KSOProductBuildVer">
    <vt:lpwstr>1049-12.2.0.19307</vt:lpwstr>
  </property>
</Properties>
</file>