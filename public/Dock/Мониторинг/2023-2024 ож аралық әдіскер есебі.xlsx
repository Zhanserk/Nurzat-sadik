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11760" activeTab="4"/>
  </bookViews>
  <sheets>
    <sheet name="орта топ" sheetId="12" r:id="rId1"/>
    <sheet name="кіші" sheetId="18" r:id="rId2"/>
    <sheet name="ересек топ" sheetId="11" r:id="rId3"/>
    <sheet name="МАД" sheetId="20" r:id="rId4"/>
    <sheet name="МДҰ әдіскерінің жинағы" sheetId="16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6" l="1"/>
  <c r="W12" i="16" s="1"/>
  <c r="T12" i="16"/>
  <c r="U12" i="16" s="1"/>
  <c r="R12" i="16"/>
  <c r="S12" i="16" s="1"/>
  <c r="V11" i="16"/>
  <c r="W11" i="16" s="1"/>
  <c r="T11" i="16"/>
  <c r="U11" i="16" s="1"/>
  <c r="R11" i="16"/>
  <c r="S11" i="16" s="1"/>
  <c r="V10" i="16"/>
  <c r="W10" i="16" s="1"/>
  <c r="T10" i="16"/>
  <c r="U10" i="16" s="1"/>
  <c r="R10" i="16"/>
  <c r="S10" i="16" s="1"/>
  <c r="V9" i="16"/>
  <c r="W9" i="16" s="1"/>
  <c r="T9" i="16"/>
  <c r="U9" i="16" s="1"/>
  <c r="R9" i="16"/>
  <c r="S9" i="16" s="1"/>
  <c r="AN19" i="20" l="1"/>
  <c r="AL19" i="20"/>
  <c r="AK19" i="20"/>
  <c r="AJ19" i="20"/>
  <c r="AI19" i="20"/>
  <c r="AH19" i="20"/>
  <c r="AG19" i="20"/>
  <c r="AF19" i="20"/>
  <c r="AE19" i="20"/>
  <c r="AD19" i="20"/>
  <c r="AC19" i="20"/>
  <c r="AB19" i="20"/>
  <c r="Z19" i="20"/>
  <c r="Y19" i="20"/>
  <c r="X19" i="20"/>
  <c r="W19" i="20"/>
  <c r="V19" i="20"/>
  <c r="U19" i="20"/>
  <c r="T19" i="20"/>
  <c r="S19" i="20"/>
  <c r="R19" i="20"/>
  <c r="Q19" i="20"/>
  <c r="P19" i="20"/>
  <c r="N19" i="20"/>
  <c r="M19" i="20"/>
  <c r="L19" i="20"/>
  <c r="K19" i="20"/>
  <c r="J19" i="20"/>
  <c r="I19" i="20"/>
  <c r="H19" i="20"/>
  <c r="G19" i="20"/>
  <c r="F19" i="20"/>
  <c r="E19" i="20"/>
  <c r="AM19" i="20"/>
  <c r="AA19" i="20" l="1"/>
  <c r="O19" i="20"/>
  <c r="D19" i="20"/>
  <c r="B14" i="16" l="1"/>
  <c r="Q13" i="16"/>
  <c r="Q14" i="16" s="1"/>
  <c r="P13" i="16"/>
  <c r="P14" i="16" s="1"/>
  <c r="O13" i="16"/>
  <c r="O14" i="16" s="1"/>
  <c r="N13" i="16"/>
  <c r="N14" i="16" s="1"/>
  <c r="M13" i="16"/>
  <c r="M14" i="16" s="1"/>
  <c r="L13" i="16"/>
  <c r="L14" i="16" s="1"/>
  <c r="K13" i="16"/>
  <c r="K14" i="16" s="1"/>
  <c r="J13" i="16"/>
  <c r="J14" i="16" s="1"/>
  <c r="I13" i="16"/>
  <c r="I14" i="16" s="1"/>
  <c r="H13" i="16"/>
  <c r="H14" i="16" s="1"/>
  <c r="G13" i="16"/>
  <c r="G14" i="16" s="1"/>
  <c r="F13" i="16"/>
  <c r="F14" i="16" s="1"/>
  <c r="E13" i="16"/>
  <c r="D13" i="16"/>
  <c r="C13" i="16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J12" i="11" s="1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T13" i="16" l="1"/>
  <c r="U13" i="16" s="1"/>
  <c r="R13" i="16"/>
  <c r="S13" i="16" s="1"/>
  <c r="V13" i="16"/>
  <c r="W13" i="16" s="1"/>
  <c r="D14" i="16"/>
  <c r="C14" i="16"/>
  <c r="E14" i="16"/>
  <c r="L12" i="11"/>
  <c r="K12" i="11"/>
  <c r="D12" i="11"/>
  <c r="E12" i="11"/>
  <c r="F12" i="11"/>
  <c r="S12" i="11"/>
  <c r="I12" i="11"/>
  <c r="M12" i="11"/>
  <c r="N12" i="11"/>
  <c r="O12" i="11"/>
  <c r="P12" i="11"/>
  <c r="Q12" i="11"/>
  <c r="R12" i="11"/>
  <c r="G12" i="11"/>
  <c r="H12" i="11"/>
  <c r="J12" i="18"/>
  <c r="L12" i="18"/>
  <c r="O12" i="18"/>
  <c r="K12" i="18"/>
  <c r="M12" i="18"/>
  <c r="P12" i="18"/>
  <c r="N12" i="18"/>
  <c r="D12" i="18"/>
  <c r="E12" i="18"/>
  <c r="Q12" i="18"/>
  <c r="F12" i="18"/>
  <c r="R12" i="18"/>
  <c r="G12" i="18"/>
  <c r="S12" i="18"/>
  <c r="H12" i="18"/>
  <c r="I12" i="18"/>
</calcChain>
</file>

<file path=xl/sharedStrings.xml><?xml version="1.0" encoding="utf-8"?>
<sst xmlns="http://schemas.openxmlformats.org/spreadsheetml/2006/main" count="192" uniqueCount="51">
  <si>
    <t>МДҰ бойынша әдіскерінің жинағы</t>
  </si>
  <si>
    <t xml:space="preserve">МДҰ атауы  </t>
  </si>
  <si>
    <t xml:space="preserve">Әдіскерінің аты-жөні   </t>
  </si>
  <si>
    <t>№</t>
  </si>
  <si>
    <t>Топтың атауы</t>
  </si>
  <si>
    <t>Тәрбиешінің аты-жөні</t>
  </si>
  <si>
    <t>Балалар саны</t>
  </si>
  <si>
    <t xml:space="preserve"> Физикалық қасиеттерді дамыту</t>
  </si>
  <si>
    <t xml:space="preserve">Коммуникативтік дағдыларды дамыту </t>
  </si>
  <si>
    <t xml:space="preserve"> Танымдық және зияткерлік дағдыларды дамыту </t>
  </si>
  <si>
    <t xml:space="preserve">Балалардың шығармашылық дағдыларын, зерттеу іс-әрекетін дамыту </t>
  </si>
  <si>
    <t>Әлеуметтік-эмоционалды дағдыларды қалыптастыру</t>
  </si>
  <si>
    <t>олардың ішінде  жоғары деңгей</t>
  </si>
  <si>
    <t>олардың ішінде орташа деңгей</t>
  </si>
  <si>
    <t>олардың ішінде   төмен деңгей</t>
  </si>
  <si>
    <t>Барлығы</t>
  </si>
  <si>
    <t>%</t>
  </si>
  <si>
    <t>Балапан</t>
  </si>
  <si>
    <t>Күншуақ</t>
  </si>
  <si>
    <t>Приложение 3</t>
  </si>
  <si>
    <t xml:space="preserve">Жас топтары </t>
  </si>
  <si>
    <t xml:space="preserve">Балалар саны </t>
  </si>
  <si>
    <t>кіші</t>
  </si>
  <si>
    <t>ортаңғы топ</t>
  </si>
  <si>
    <t>ересек топ</t>
  </si>
  <si>
    <t xml:space="preserve"> %</t>
  </si>
  <si>
    <t>Мектепке дейінгі ұйым әдіскерінің мектепалды топтары бойынша жинақтау парағы</t>
  </si>
  <si>
    <t>Қосымша 2</t>
  </si>
  <si>
    <t>Мекен-жайы__________________________________________</t>
  </si>
  <si>
    <t>Оқыту тілі_____________________________________________</t>
  </si>
  <si>
    <t>Сөйлеуді дамыту</t>
  </si>
  <si>
    <t>Көркем әдебиет</t>
  </si>
  <si>
    <t>Сауат ашу негіздері</t>
  </si>
  <si>
    <t>Қазақ тілі</t>
  </si>
  <si>
    <t>Сурет салу</t>
  </si>
  <si>
    <t>Мүсіндеу</t>
  </si>
  <si>
    <t>Жапсыру</t>
  </si>
  <si>
    <t>Құрастыру</t>
  </si>
  <si>
    <t>Музыка</t>
  </si>
  <si>
    <t>МАД</t>
  </si>
  <si>
    <t>БАРЛЫҒЫ</t>
  </si>
  <si>
    <t>МДҰ атауы  "Нұрзат" б\б</t>
  </si>
  <si>
    <t>Байтерек</t>
  </si>
  <si>
    <t>А Өмірбекова</t>
  </si>
  <si>
    <t>МДҰ атауы  ЖШС "Нұрзат" б\б</t>
  </si>
  <si>
    <t>Әдіскерінің аты-жөні   А.Маликова</t>
  </si>
  <si>
    <t>Әдіскерінің аты-жөні  А.Маликова</t>
  </si>
  <si>
    <t>Болашақ</t>
  </si>
  <si>
    <t>Әдіскерінің аты-жөні______________А.Маликова_______________________</t>
  </si>
  <si>
    <t>МДҰ  ЖШС "Нұрзат" б\батауы__________________________________________________________</t>
  </si>
  <si>
    <t>Әдіскерінің аты-жөні А.Маликова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</si>
</sst>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charset val="204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  <xf numFmtId="1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" fontId="1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5" fillId="0" borderId="2" xfId="0" applyFont="1" applyBorder="1"/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4"/>
  <sheetViews>
    <sheetView topLeftCell="B1" workbookViewId="0">
      <selection activeCell="E9" sqref="E9:J9"/>
    </sheetView>
  </sheetViews>
  <sheetFormatPr defaultColWidth="9" defaultRowHeight="15" x14ac:dyDescent="0.25"/>
  <cols>
    <col min="2" max="2" width="16.140625" customWidth="1"/>
    <col min="3" max="3" width="25.42578125" customWidth="1"/>
    <col min="4" max="4" width="12.5703125" customWidth="1"/>
    <col min="5" max="5" width="13.42578125" customWidth="1"/>
    <col min="6" max="6" width="12.5703125" customWidth="1"/>
    <col min="7" max="7" width="12.85546875" customWidth="1"/>
    <col min="8" max="8" width="13" customWidth="1"/>
    <col min="9" max="9" width="12.42578125" customWidth="1"/>
    <col min="10" max="10" width="12.7109375" customWidth="1"/>
    <col min="11" max="11" width="12.140625" customWidth="1"/>
    <col min="12" max="12" width="12.7109375" customWidth="1"/>
    <col min="13" max="15" width="12.28515625" customWidth="1"/>
    <col min="16" max="16" width="12" customWidth="1"/>
    <col min="17" max="17" width="12.28515625" customWidth="1"/>
    <col min="18" max="19" width="12.140625" customWidth="1"/>
  </cols>
  <sheetData>
    <row r="2" spans="1:19" ht="15.75" x14ac:dyDescent="0.25">
      <c r="A2" s="41" t="s">
        <v>0</v>
      </c>
      <c r="B2" s="41"/>
      <c r="C2" s="41"/>
      <c r="D2" s="2"/>
      <c r="E2" s="2"/>
      <c r="F2" s="2"/>
      <c r="G2" s="2"/>
      <c r="H2" s="2"/>
      <c r="I2" s="42" t="s">
        <v>44</v>
      </c>
      <c r="J2" s="42"/>
      <c r="K2" s="42"/>
      <c r="L2" s="42"/>
      <c r="M2" s="42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42" t="s">
        <v>45</v>
      </c>
      <c r="J4" s="42"/>
      <c r="K4" s="42"/>
      <c r="L4" s="42"/>
      <c r="M4" s="42"/>
      <c r="N4" s="42"/>
      <c r="O4" s="42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40" t="s">
        <v>3</v>
      </c>
      <c r="B7" s="34" t="s">
        <v>4</v>
      </c>
      <c r="C7" s="34" t="s">
        <v>5</v>
      </c>
      <c r="D7" s="34" t="s">
        <v>6</v>
      </c>
      <c r="E7" s="34" t="s">
        <v>7</v>
      </c>
      <c r="F7" s="34"/>
      <c r="G7" s="34"/>
      <c r="H7" s="34" t="s">
        <v>8</v>
      </c>
      <c r="I7" s="34"/>
      <c r="J7" s="34"/>
      <c r="K7" s="34" t="s">
        <v>9</v>
      </c>
      <c r="L7" s="34"/>
      <c r="M7" s="34"/>
      <c r="N7" s="34" t="s">
        <v>10</v>
      </c>
      <c r="O7" s="34"/>
      <c r="P7" s="34"/>
      <c r="Q7" s="34" t="s">
        <v>11</v>
      </c>
      <c r="R7" s="34"/>
      <c r="S7" s="34"/>
    </row>
    <row r="8" spans="1:19" ht="114.75" customHeight="1" x14ac:dyDescent="0.25">
      <c r="A8" s="40"/>
      <c r="B8" s="34"/>
      <c r="C8" s="34"/>
      <c r="D8" s="34"/>
      <c r="E8" s="6" t="s">
        <v>12</v>
      </c>
      <c r="F8" s="6" t="s">
        <v>13</v>
      </c>
      <c r="G8" s="6" t="s">
        <v>14</v>
      </c>
      <c r="H8" s="6" t="s">
        <v>12</v>
      </c>
      <c r="I8" s="6" t="s">
        <v>13</v>
      </c>
      <c r="J8" s="6" t="s">
        <v>14</v>
      </c>
      <c r="K8" s="6" t="s">
        <v>12</v>
      </c>
      <c r="L8" s="6" t="s">
        <v>13</v>
      </c>
      <c r="M8" s="6" t="s">
        <v>14</v>
      </c>
      <c r="N8" s="6" t="s">
        <v>12</v>
      </c>
      <c r="O8" s="6" t="s">
        <v>13</v>
      </c>
      <c r="P8" s="6" t="s">
        <v>14</v>
      </c>
      <c r="Q8" s="6" t="s">
        <v>12</v>
      </c>
      <c r="R8" s="6" t="s">
        <v>13</v>
      </c>
      <c r="S8" s="6" t="s">
        <v>14</v>
      </c>
    </row>
    <row r="9" spans="1:19" ht="15.75" x14ac:dyDescent="0.25">
      <c r="A9" s="16">
        <v>1</v>
      </c>
      <c r="B9" s="16" t="s">
        <v>17</v>
      </c>
      <c r="C9" s="16"/>
      <c r="D9" s="8">
        <v>25</v>
      </c>
      <c r="E9" s="8">
        <v>5</v>
      </c>
      <c r="F9" s="8">
        <v>6</v>
      </c>
      <c r="G9" s="8">
        <v>14</v>
      </c>
      <c r="H9" s="8">
        <v>5</v>
      </c>
      <c r="I9" s="8">
        <v>6</v>
      </c>
      <c r="J9" s="8">
        <v>14</v>
      </c>
      <c r="K9" s="8">
        <v>5</v>
      </c>
      <c r="L9" s="8">
        <v>6</v>
      </c>
      <c r="M9" s="8">
        <v>14</v>
      </c>
      <c r="N9" s="8">
        <v>5</v>
      </c>
      <c r="O9" s="8">
        <v>6</v>
      </c>
      <c r="P9" s="8">
        <v>11</v>
      </c>
      <c r="Q9" s="8">
        <v>4</v>
      </c>
      <c r="R9" s="8">
        <v>6</v>
      </c>
      <c r="S9" s="8">
        <v>11</v>
      </c>
    </row>
    <row r="10" spans="1:19" ht="15.75" x14ac:dyDescent="0.25">
      <c r="A10" s="16">
        <v>2</v>
      </c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17">
        <v>3</v>
      </c>
      <c r="B11" s="17"/>
      <c r="C11" s="1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5.75" x14ac:dyDescent="0.25">
      <c r="A12" s="17"/>
      <c r="B12" s="17"/>
      <c r="C12" s="1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5.75" x14ac:dyDescent="0.25">
      <c r="A13" s="35" t="s">
        <v>15</v>
      </c>
      <c r="B13" s="36"/>
      <c r="C13" s="37"/>
      <c r="D13" s="8">
        <f t="shared" ref="D13:S13" si="0">SUM(D9:D12)</f>
        <v>25</v>
      </c>
      <c r="E13" s="8">
        <f t="shared" si="0"/>
        <v>5</v>
      </c>
      <c r="F13" s="8">
        <f t="shared" si="0"/>
        <v>6</v>
      </c>
      <c r="G13" s="8">
        <f t="shared" si="0"/>
        <v>14</v>
      </c>
      <c r="H13" s="8">
        <f t="shared" si="0"/>
        <v>5</v>
      </c>
      <c r="I13" s="8">
        <f t="shared" si="0"/>
        <v>6</v>
      </c>
      <c r="J13" s="8">
        <f t="shared" si="0"/>
        <v>14</v>
      </c>
      <c r="K13" s="8">
        <f t="shared" si="0"/>
        <v>5</v>
      </c>
      <c r="L13" s="8">
        <f t="shared" si="0"/>
        <v>6</v>
      </c>
      <c r="M13" s="8">
        <f t="shared" si="0"/>
        <v>14</v>
      </c>
      <c r="N13" s="8">
        <f t="shared" si="0"/>
        <v>5</v>
      </c>
      <c r="O13" s="8">
        <f t="shared" si="0"/>
        <v>6</v>
      </c>
      <c r="P13" s="8">
        <f t="shared" si="0"/>
        <v>11</v>
      </c>
      <c r="Q13" s="8">
        <f t="shared" si="0"/>
        <v>4</v>
      </c>
      <c r="R13" s="8">
        <f t="shared" si="0"/>
        <v>6</v>
      </c>
      <c r="S13" s="8">
        <f t="shared" si="0"/>
        <v>11</v>
      </c>
    </row>
    <row r="14" spans="1:19" ht="21.75" customHeight="1" x14ac:dyDescent="0.25">
      <c r="A14" s="38" t="s">
        <v>16</v>
      </c>
      <c r="B14" s="39"/>
      <c r="C14" s="39"/>
      <c r="D14" s="18">
        <f>D13*100/D13</f>
        <v>100</v>
      </c>
      <c r="E14" s="13">
        <f>E13*100/D13</f>
        <v>20</v>
      </c>
      <c r="F14" s="13">
        <f>F13*100/D13</f>
        <v>24</v>
      </c>
      <c r="G14" s="13">
        <f>G13*100/D13</f>
        <v>56</v>
      </c>
      <c r="H14" s="13">
        <f>H13*100/D13</f>
        <v>20</v>
      </c>
      <c r="I14" s="13">
        <f>I13*100/D13</f>
        <v>24</v>
      </c>
      <c r="J14" s="13">
        <f>J13*100/D13</f>
        <v>56</v>
      </c>
      <c r="K14" s="13">
        <f>K13*100/D13</f>
        <v>20</v>
      </c>
      <c r="L14" s="13">
        <f>L13*100/D13</f>
        <v>24</v>
      </c>
      <c r="M14" s="13">
        <f>M13*100/D13</f>
        <v>56</v>
      </c>
      <c r="N14" s="13">
        <f>N13*100/D13</f>
        <v>20</v>
      </c>
      <c r="O14" s="13">
        <f>O13*100/D13</f>
        <v>24</v>
      </c>
      <c r="P14" s="13">
        <f>P13*100/D13</f>
        <v>44</v>
      </c>
      <c r="Q14" s="13">
        <f>Q13*100/D13</f>
        <v>16</v>
      </c>
      <c r="R14" s="13">
        <f>R13*100/D13</f>
        <v>24</v>
      </c>
      <c r="S14" s="13">
        <f>S13*100/D13</f>
        <v>44</v>
      </c>
    </row>
  </sheetData>
  <mergeCells count="14">
    <mergeCell ref="A2:C2"/>
    <mergeCell ref="I2:M2"/>
    <mergeCell ref="I4:O4"/>
    <mergeCell ref="E7:G7"/>
    <mergeCell ref="H7:J7"/>
    <mergeCell ref="K7:M7"/>
    <mergeCell ref="N7:P7"/>
    <mergeCell ref="Q7:S7"/>
    <mergeCell ref="A13:C13"/>
    <mergeCell ref="A14:C14"/>
    <mergeCell ref="A7:A8"/>
    <mergeCell ref="B7:B8"/>
    <mergeCell ref="C7:C8"/>
    <mergeCell ref="D7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"/>
  <sheetViews>
    <sheetView topLeftCell="C1" workbookViewId="0">
      <selection activeCell="K15" sqref="K15"/>
    </sheetView>
  </sheetViews>
  <sheetFormatPr defaultColWidth="9.140625" defaultRowHeight="15" x14ac:dyDescent="0.25"/>
  <cols>
    <col min="1" max="1" width="5" customWidth="1"/>
    <col min="2" max="2" width="15.85546875" customWidth="1"/>
    <col min="3" max="3" width="14.7109375" customWidth="1"/>
  </cols>
  <sheetData>
    <row r="2" spans="1:19" ht="15.75" x14ac:dyDescent="0.25">
      <c r="A2" s="41" t="s">
        <v>0</v>
      </c>
      <c r="B2" s="41"/>
      <c r="C2" s="41"/>
      <c r="D2" s="2"/>
      <c r="E2" s="2"/>
      <c r="F2" s="2"/>
      <c r="G2" s="2"/>
      <c r="H2" s="2"/>
      <c r="I2" s="42" t="s">
        <v>1</v>
      </c>
      <c r="J2" s="42"/>
      <c r="K2" s="42"/>
      <c r="L2" s="42"/>
      <c r="M2" s="42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42" t="s">
        <v>2</v>
      </c>
      <c r="J4" s="42"/>
      <c r="K4" s="42"/>
      <c r="L4" s="42"/>
      <c r="M4" s="42"/>
      <c r="N4" s="42"/>
      <c r="O4" s="42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40" t="s">
        <v>3</v>
      </c>
      <c r="B7" s="34" t="s">
        <v>4</v>
      </c>
      <c r="C7" s="34" t="s">
        <v>5</v>
      </c>
      <c r="D7" s="34" t="s">
        <v>6</v>
      </c>
      <c r="E7" s="34" t="s">
        <v>7</v>
      </c>
      <c r="F7" s="34"/>
      <c r="G7" s="34"/>
      <c r="H7" s="34" t="s">
        <v>8</v>
      </c>
      <c r="I7" s="34"/>
      <c r="J7" s="34"/>
      <c r="K7" s="34" t="s">
        <v>9</v>
      </c>
      <c r="L7" s="34"/>
      <c r="M7" s="34"/>
      <c r="N7" s="34" t="s">
        <v>10</v>
      </c>
      <c r="O7" s="34"/>
      <c r="P7" s="34"/>
      <c r="Q7" s="34" t="s">
        <v>11</v>
      </c>
      <c r="R7" s="34"/>
      <c r="S7" s="34"/>
    </row>
    <row r="8" spans="1:19" ht="114.75" customHeight="1" x14ac:dyDescent="0.25">
      <c r="A8" s="40"/>
      <c r="B8" s="34"/>
      <c r="C8" s="34"/>
      <c r="D8" s="34"/>
      <c r="E8" s="6" t="s">
        <v>12</v>
      </c>
      <c r="F8" s="6" t="s">
        <v>13</v>
      </c>
      <c r="G8" s="6" t="s">
        <v>14</v>
      </c>
      <c r="H8" s="6" t="s">
        <v>12</v>
      </c>
      <c r="I8" s="6" t="s">
        <v>13</v>
      </c>
      <c r="J8" s="6" t="s">
        <v>14</v>
      </c>
      <c r="K8" s="6" t="s">
        <v>12</v>
      </c>
      <c r="L8" s="6" t="s">
        <v>13</v>
      </c>
      <c r="M8" s="6" t="s">
        <v>14</v>
      </c>
      <c r="N8" s="6" t="s">
        <v>12</v>
      </c>
      <c r="O8" s="6" t="s">
        <v>13</v>
      </c>
      <c r="P8" s="6" t="s">
        <v>14</v>
      </c>
      <c r="Q8" s="6" t="s">
        <v>12</v>
      </c>
      <c r="R8" s="6" t="s">
        <v>13</v>
      </c>
      <c r="S8" s="6" t="s">
        <v>14</v>
      </c>
    </row>
    <row r="9" spans="1:19" ht="15.75" x14ac:dyDescent="0.25">
      <c r="A9" s="16">
        <v>1</v>
      </c>
      <c r="B9" s="16" t="s">
        <v>42</v>
      </c>
      <c r="C9" s="16" t="s">
        <v>43</v>
      </c>
      <c r="D9" s="8">
        <v>20</v>
      </c>
      <c r="E9" s="8">
        <v>4</v>
      </c>
      <c r="F9" s="8">
        <v>14</v>
      </c>
      <c r="G9" s="8">
        <v>2</v>
      </c>
      <c r="H9" s="8">
        <v>4</v>
      </c>
      <c r="I9" s="8">
        <v>14</v>
      </c>
      <c r="J9" s="8">
        <v>2</v>
      </c>
      <c r="K9" s="8">
        <v>4</v>
      </c>
      <c r="L9" s="8">
        <v>14</v>
      </c>
      <c r="M9" s="8">
        <v>2</v>
      </c>
      <c r="N9" s="8">
        <v>4</v>
      </c>
      <c r="O9" s="8">
        <v>14</v>
      </c>
      <c r="P9" s="8">
        <v>2</v>
      </c>
      <c r="Q9" s="8">
        <v>4</v>
      </c>
      <c r="R9" s="8">
        <v>14</v>
      </c>
      <c r="S9" s="8">
        <v>2</v>
      </c>
    </row>
    <row r="10" spans="1:19" ht="15.75" x14ac:dyDescent="0.25">
      <c r="A10" s="17"/>
      <c r="B10" s="17"/>
      <c r="C10" s="1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35" t="s">
        <v>15</v>
      </c>
      <c r="B11" s="36"/>
      <c r="C11" s="37"/>
      <c r="D11" s="8">
        <f t="shared" ref="D11:S11" si="0">SUM(D9:D10)</f>
        <v>20</v>
      </c>
      <c r="E11" s="8">
        <f t="shared" si="0"/>
        <v>4</v>
      </c>
      <c r="F11" s="8">
        <f t="shared" si="0"/>
        <v>14</v>
      </c>
      <c r="G11" s="8">
        <f t="shared" si="0"/>
        <v>2</v>
      </c>
      <c r="H11" s="8">
        <f t="shared" si="0"/>
        <v>4</v>
      </c>
      <c r="I11" s="8">
        <f t="shared" si="0"/>
        <v>14</v>
      </c>
      <c r="J11" s="8">
        <f t="shared" si="0"/>
        <v>2</v>
      </c>
      <c r="K11" s="8">
        <f t="shared" si="0"/>
        <v>4</v>
      </c>
      <c r="L11" s="8">
        <f t="shared" si="0"/>
        <v>14</v>
      </c>
      <c r="M11" s="8">
        <f t="shared" si="0"/>
        <v>2</v>
      </c>
      <c r="N11" s="8">
        <f t="shared" si="0"/>
        <v>4</v>
      </c>
      <c r="O11" s="8">
        <f t="shared" si="0"/>
        <v>14</v>
      </c>
      <c r="P11" s="8">
        <f t="shared" si="0"/>
        <v>2</v>
      </c>
      <c r="Q11" s="8">
        <f t="shared" si="0"/>
        <v>4</v>
      </c>
      <c r="R11" s="8">
        <f t="shared" si="0"/>
        <v>14</v>
      </c>
      <c r="S11" s="8">
        <f t="shared" si="0"/>
        <v>2</v>
      </c>
    </row>
    <row r="12" spans="1:19" ht="21.75" customHeight="1" x14ac:dyDescent="0.25">
      <c r="A12" s="38" t="s">
        <v>16</v>
      </c>
      <c r="B12" s="39"/>
      <c r="C12" s="39"/>
      <c r="D12" s="18">
        <f>D11*100/D11</f>
        <v>100</v>
      </c>
      <c r="E12" s="13">
        <f>E11*100/D11</f>
        <v>20</v>
      </c>
      <c r="F12" s="13">
        <f>F11*100/D11</f>
        <v>70</v>
      </c>
      <c r="G12" s="13">
        <f>G11*100/D11</f>
        <v>10</v>
      </c>
      <c r="H12" s="13">
        <f>H11*100/D11</f>
        <v>20</v>
      </c>
      <c r="I12" s="13">
        <f>I11*100/D11</f>
        <v>70</v>
      </c>
      <c r="J12" s="13">
        <f>J11*100/D11</f>
        <v>10</v>
      </c>
      <c r="K12" s="13">
        <f>K11*100/D11</f>
        <v>20</v>
      </c>
      <c r="L12" s="13">
        <f>L11*100/D11</f>
        <v>70</v>
      </c>
      <c r="M12" s="13">
        <f>M11*100/D11</f>
        <v>10</v>
      </c>
      <c r="N12" s="13">
        <f>N11*100/D11</f>
        <v>20</v>
      </c>
      <c r="O12" s="13">
        <f>O11*100/D11</f>
        <v>70</v>
      </c>
      <c r="P12" s="13">
        <f>P11*100/D11</f>
        <v>10</v>
      </c>
      <c r="Q12" s="13">
        <f>Q11*100/D11</f>
        <v>20</v>
      </c>
      <c r="R12" s="13">
        <f>R11*100/D11</f>
        <v>70</v>
      </c>
      <c r="S12" s="13">
        <f>S11*100/D11</f>
        <v>10</v>
      </c>
    </row>
  </sheetData>
  <mergeCells count="14">
    <mergeCell ref="A2:C2"/>
    <mergeCell ref="I2:M2"/>
    <mergeCell ref="I4:O4"/>
    <mergeCell ref="E7:G7"/>
    <mergeCell ref="H7:J7"/>
    <mergeCell ref="K7:M7"/>
    <mergeCell ref="N7:P7"/>
    <mergeCell ref="Q7:S7"/>
    <mergeCell ref="A11:C11"/>
    <mergeCell ref="A12:C12"/>
    <mergeCell ref="A7:A8"/>
    <mergeCell ref="B7:B8"/>
    <mergeCell ref="C7:C8"/>
    <mergeCell ref="D7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"/>
  <sheetViews>
    <sheetView workbookViewId="0">
      <selection activeCell="I4" sqref="I4:O4"/>
    </sheetView>
  </sheetViews>
  <sheetFormatPr defaultColWidth="9" defaultRowHeight="15" x14ac:dyDescent="0.25"/>
  <cols>
    <col min="2" max="2" width="17" customWidth="1"/>
    <col min="3" max="3" width="21.42578125" customWidth="1"/>
    <col min="4" max="4" width="13.140625" customWidth="1"/>
    <col min="5" max="5" width="13" customWidth="1"/>
    <col min="6" max="6" width="12.7109375" customWidth="1"/>
    <col min="7" max="7" width="12.42578125" customWidth="1"/>
    <col min="8" max="8" width="12" customWidth="1"/>
    <col min="9" max="9" width="12.5703125" customWidth="1"/>
    <col min="10" max="10" width="13.140625" customWidth="1"/>
    <col min="11" max="11" width="12.28515625" customWidth="1"/>
    <col min="12" max="12" width="12.42578125" customWidth="1"/>
    <col min="13" max="13" width="12.28515625" customWidth="1"/>
    <col min="14" max="14" width="12.140625" customWidth="1"/>
    <col min="15" max="15" width="12.42578125" customWidth="1"/>
    <col min="16" max="16" width="12.140625" customWidth="1"/>
    <col min="17" max="17" width="12.85546875" customWidth="1"/>
    <col min="18" max="18" width="11.42578125" customWidth="1"/>
    <col min="19" max="19" width="11.5703125" customWidth="1"/>
  </cols>
  <sheetData>
    <row r="2" spans="1:19" ht="15.75" x14ac:dyDescent="0.25">
      <c r="A2" s="41" t="s">
        <v>0</v>
      </c>
      <c r="B2" s="41"/>
      <c r="C2" s="41"/>
      <c r="D2" s="2"/>
      <c r="E2" s="2"/>
      <c r="F2" s="2"/>
      <c r="G2" s="2"/>
      <c r="H2" s="2"/>
      <c r="I2" s="42"/>
      <c r="J2" s="42"/>
      <c r="K2" s="42"/>
      <c r="L2" s="42"/>
      <c r="M2" s="42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42" t="s">
        <v>46</v>
      </c>
      <c r="J4" s="42"/>
      <c r="K4" s="42"/>
      <c r="L4" s="42"/>
      <c r="M4" s="42"/>
      <c r="N4" s="42"/>
      <c r="O4" s="42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40" t="s">
        <v>3</v>
      </c>
      <c r="B7" s="34" t="s">
        <v>4</v>
      </c>
      <c r="C7" s="34" t="s">
        <v>5</v>
      </c>
      <c r="D7" s="34" t="s">
        <v>6</v>
      </c>
      <c r="E7" s="34" t="s">
        <v>7</v>
      </c>
      <c r="F7" s="34"/>
      <c r="G7" s="34"/>
      <c r="H7" s="34" t="s">
        <v>8</v>
      </c>
      <c r="I7" s="34"/>
      <c r="J7" s="34"/>
      <c r="K7" s="34" t="s">
        <v>9</v>
      </c>
      <c r="L7" s="34"/>
      <c r="M7" s="34"/>
      <c r="N7" s="34" t="s">
        <v>10</v>
      </c>
      <c r="O7" s="34"/>
      <c r="P7" s="34"/>
      <c r="Q7" s="34" t="s">
        <v>11</v>
      </c>
      <c r="R7" s="34"/>
      <c r="S7" s="34"/>
    </row>
    <row r="8" spans="1:19" ht="115.5" customHeight="1" x14ac:dyDescent="0.25">
      <c r="A8" s="40"/>
      <c r="B8" s="34"/>
      <c r="C8" s="34"/>
      <c r="D8" s="34"/>
      <c r="E8" s="6" t="s">
        <v>12</v>
      </c>
      <c r="F8" s="6" t="s">
        <v>13</v>
      </c>
      <c r="G8" s="6" t="s">
        <v>14</v>
      </c>
      <c r="H8" s="6" t="s">
        <v>12</v>
      </c>
      <c r="I8" s="6" t="s">
        <v>13</v>
      </c>
      <c r="J8" s="6" t="s">
        <v>14</v>
      </c>
      <c r="K8" s="6" t="s">
        <v>12</v>
      </c>
      <c r="L8" s="6" t="s">
        <v>13</v>
      </c>
      <c r="M8" s="6" t="s">
        <v>14</v>
      </c>
      <c r="N8" s="6" t="s">
        <v>12</v>
      </c>
      <c r="O8" s="6" t="s">
        <v>13</v>
      </c>
      <c r="P8" s="6" t="s">
        <v>14</v>
      </c>
      <c r="Q8" s="6" t="s">
        <v>12</v>
      </c>
      <c r="R8" s="6" t="s">
        <v>13</v>
      </c>
      <c r="S8" s="6" t="s">
        <v>14</v>
      </c>
    </row>
    <row r="9" spans="1:19" ht="15.75" x14ac:dyDescent="0.25">
      <c r="A9" s="16">
        <v>1</v>
      </c>
      <c r="B9" s="16" t="s">
        <v>18</v>
      </c>
      <c r="C9" s="16"/>
      <c r="D9" s="8">
        <v>19</v>
      </c>
      <c r="E9" s="8">
        <v>7</v>
      </c>
      <c r="F9" s="8">
        <v>8</v>
      </c>
      <c r="G9" s="8">
        <v>10</v>
      </c>
      <c r="H9" s="8">
        <v>7</v>
      </c>
      <c r="I9" s="8">
        <v>8</v>
      </c>
      <c r="J9" s="8">
        <v>10</v>
      </c>
      <c r="K9" s="8">
        <v>7</v>
      </c>
      <c r="L9" s="8">
        <v>8</v>
      </c>
      <c r="M9" s="8">
        <v>10</v>
      </c>
      <c r="N9" s="8">
        <v>7</v>
      </c>
      <c r="O9" s="8">
        <v>8</v>
      </c>
      <c r="P9" s="8">
        <v>10</v>
      </c>
      <c r="Q9" s="8">
        <v>7</v>
      </c>
      <c r="R9" s="8">
        <v>8</v>
      </c>
      <c r="S9" s="8">
        <v>10</v>
      </c>
    </row>
    <row r="10" spans="1:19" ht="15.75" x14ac:dyDescent="0.25">
      <c r="A10" s="17"/>
      <c r="B10" s="17"/>
      <c r="C10" s="1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35" t="s">
        <v>15</v>
      </c>
      <c r="B11" s="36"/>
      <c r="C11" s="37"/>
      <c r="D11" s="8">
        <f t="shared" ref="D11:S11" si="0">SUM(D9:D10)</f>
        <v>19</v>
      </c>
      <c r="E11" s="8">
        <f t="shared" si="0"/>
        <v>7</v>
      </c>
      <c r="F11" s="8">
        <f t="shared" si="0"/>
        <v>8</v>
      </c>
      <c r="G11" s="8">
        <f t="shared" si="0"/>
        <v>10</v>
      </c>
      <c r="H11" s="8">
        <f t="shared" si="0"/>
        <v>7</v>
      </c>
      <c r="I11" s="8">
        <f t="shared" si="0"/>
        <v>8</v>
      </c>
      <c r="J11" s="8">
        <f t="shared" si="0"/>
        <v>10</v>
      </c>
      <c r="K11" s="8">
        <f t="shared" si="0"/>
        <v>7</v>
      </c>
      <c r="L11" s="8">
        <f t="shared" si="0"/>
        <v>8</v>
      </c>
      <c r="M11" s="8">
        <f t="shared" si="0"/>
        <v>10</v>
      </c>
      <c r="N11" s="8">
        <f t="shared" si="0"/>
        <v>7</v>
      </c>
      <c r="O11" s="8">
        <f t="shared" si="0"/>
        <v>8</v>
      </c>
      <c r="P11" s="8">
        <f t="shared" si="0"/>
        <v>10</v>
      </c>
      <c r="Q11" s="8">
        <f t="shared" si="0"/>
        <v>7</v>
      </c>
      <c r="R11" s="8">
        <f t="shared" si="0"/>
        <v>8</v>
      </c>
      <c r="S11" s="8">
        <f t="shared" si="0"/>
        <v>10</v>
      </c>
    </row>
    <row r="12" spans="1:19" ht="18.75" customHeight="1" x14ac:dyDescent="0.25">
      <c r="A12" s="38" t="s">
        <v>16</v>
      </c>
      <c r="B12" s="39"/>
      <c r="C12" s="39"/>
      <c r="D12" s="18">
        <f>D11*100/D11</f>
        <v>100</v>
      </c>
      <c r="E12" s="13">
        <f>E11*100/D11</f>
        <v>36.842105263157897</v>
      </c>
      <c r="F12" s="13">
        <f>F11*100/D11</f>
        <v>42.10526315789474</v>
      </c>
      <c r="G12" s="13">
        <f>G11*100/D11</f>
        <v>52.631578947368418</v>
      </c>
      <c r="H12" s="13">
        <f>H11*100/D11</f>
        <v>36.842105263157897</v>
      </c>
      <c r="I12" s="13">
        <f>I11*100/D11</f>
        <v>42.10526315789474</v>
      </c>
      <c r="J12" s="13">
        <f>J11*100/D11</f>
        <v>52.631578947368418</v>
      </c>
      <c r="K12" s="13">
        <f>K11*100/D11</f>
        <v>36.842105263157897</v>
      </c>
      <c r="L12" s="13">
        <f>L11*100/D11</f>
        <v>42.10526315789474</v>
      </c>
      <c r="M12" s="13">
        <f>M11*100/D11</f>
        <v>52.631578947368418</v>
      </c>
      <c r="N12" s="13">
        <f>N11*100/D11</f>
        <v>36.842105263157897</v>
      </c>
      <c r="O12" s="13">
        <f>O11*100/D11</f>
        <v>42.10526315789474</v>
      </c>
      <c r="P12" s="13">
        <f>P11*100/D11</f>
        <v>52.631578947368418</v>
      </c>
      <c r="Q12" s="13">
        <f>Q11*100/D11</f>
        <v>36.842105263157897</v>
      </c>
      <c r="R12" s="13">
        <f>R11*100/D11</f>
        <v>42.10526315789474</v>
      </c>
      <c r="S12" s="13">
        <f>S11*100/D11</f>
        <v>52.631578947368418</v>
      </c>
    </row>
  </sheetData>
  <mergeCells count="14">
    <mergeCell ref="A2:C2"/>
    <mergeCell ref="I2:M2"/>
    <mergeCell ref="I4:O4"/>
    <mergeCell ref="E7:G7"/>
    <mergeCell ref="H7:J7"/>
    <mergeCell ref="K7:M7"/>
    <mergeCell ref="N7:P7"/>
    <mergeCell ref="Q7:S7"/>
    <mergeCell ref="A11:C11"/>
    <mergeCell ref="A12:C12"/>
    <mergeCell ref="A7:A8"/>
    <mergeCell ref="B7:B8"/>
    <mergeCell ref="C7:C8"/>
    <mergeCell ref="D7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N19"/>
  <sheetViews>
    <sheetView topLeftCell="F1" workbookViewId="0">
      <selection activeCell="R5" sqref="R5:W5"/>
    </sheetView>
  </sheetViews>
  <sheetFormatPr defaultRowHeight="15" x14ac:dyDescent="0.25"/>
  <cols>
    <col min="2" max="2" width="20.42578125" customWidth="1"/>
  </cols>
  <sheetData>
    <row r="3" spans="1:40" ht="15.75" x14ac:dyDescent="0.25">
      <c r="A3" s="19"/>
      <c r="B3" s="20" t="s">
        <v>26</v>
      </c>
      <c r="C3" s="20"/>
      <c r="D3" s="20"/>
      <c r="E3" s="20"/>
      <c r="F3" s="2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67" t="s">
        <v>49</v>
      </c>
      <c r="S3" s="67"/>
      <c r="T3" s="67"/>
      <c r="U3" s="67"/>
      <c r="V3" s="67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2"/>
      <c r="AJ3" s="22"/>
      <c r="AK3" s="22"/>
      <c r="AL3" s="22"/>
      <c r="AM3" s="68" t="s">
        <v>27</v>
      </c>
      <c r="AN3" s="68"/>
    </row>
    <row r="4" spans="1:40" ht="15.75" x14ac:dyDescent="0.25">
      <c r="A4" s="22"/>
      <c r="B4" s="67" t="s">
        <v>48</v>
      </c>
      <c r="C4" s="67"/>
      <c r="D4" s="67"/>
      <c r="E4" s="67"/>
      <c r="F4" s="67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67" t="s">
        <v>28</v>
      </c>
      <c r="S4" s="67"/>
      <c r="T4" s="67"/>
      <c r="U4" s="67"/>
      <c r="V4" s="67"/>
      <c r="W4" s="67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</row>
    <row r="5" spans="1:40" ht="15.75" x14ac:dyDescent="0.25">
      <c r="A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69" t="s">
        <v>29</v>
      </c>
      <c r="S5" s="69"/>
      <c r="T5" s="69"/>
      <c r="U5" s="69"/>
      <c r="V5" s="69"/>
      <c r="W5" s="69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K5" s="22"/>
      <c r="AL5" s="22"/>
      <c r="AM5" s="22"/>
      <c r="AN5" s="22"/>
    </row>
    <row r="6" spans="1:40" ht="15.75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spans="1:40" ht="15.75" x14ac:dyDescent="0.25">
      <c r="A7" s="22"/>
      <c r="B7" s="24"/>
      <c r="C7" s="2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15.75" customHeight="1" x14ac:dyDescent="0.25">
      <c r="A8" s="47" t="s">
        <v>3</v>
      </c>
      <c r="B8" s="57" t="s">
        <v>4</v>
      </c>
      <c r="C8" s="57" t="s">
        <v>5</v>
      </c>
      <c r="D8" s="57" t="s">
        <v>6</v>
      </c>
      <c r="E8" s="57" t="s">
        <v>7</v>
      </c>
      <c r="F8" s="57"/>
      <c r="G8" s="57"/>
      <c r="H8" s="54" t="s">
        <v>8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6"/>
      <c r="T8" s="57" t="s">
        <v>9</v>
      </c>
      <c r="U8" s="57"/>
      <c r="V8" s="57"/>
      <c r="W8" s="54" t="s">
        <v>10</v>
      </c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6"/>
      <c r="AL8" s="57" t="s">
        <v>11</v>
      </c>
      <c r="AM8" s="57"/>
      <c r="AN8" s="57"/>
    </row>
    <row r="9" spans="1:40" ht="15.75" customHeight="1" x14ac:dyDescent="0.25">
      <c r="A9" s="47"/>
      <c r="B9" s="57"/>
      <c r="C9" s="57"/>
      <c r="D9" s="57"/>
      <c r="E9" s="50" t="s">
        <v>12</v>
      </c>
      <c r="F9" s="50" t="s">
        <v>13</v>
      </c>
      <c r="G9" s="50" t="s">
        <v>14</v>
      </c>
      <c r="H9" s="58" t="s">
        <v>30</v>
      </c>
      <c r="I9" s="59"/>
      <c r="J9" s="60"/>
      <c r="K9" s="61" t="s">
        <v>31</v>
      </c>
      <c r="L9" s="62"/>
      <c r="M9" s="63"/>
      <c r="N9" s="64" t="s">
        <v>32</v>
      </c>
      <c r="O9" s="65"/>
      <c r="P9" s="66"/>
      <c r="Q9" s="52" t="s">
        <v>33</v>
      </c>
      <c r="R9" s="48"/>
      <c r="S9" s="49"/>
      <c r="T9" s="50" t="s">
        <v>12</v>
      </c>
      <c r="U9" s="50" t="s">
        <v>13</v>
      </c>
      <c r="V9" s="50" t="s">
        <v>14</v>
      </c>
      <c r="W9" s="53" t="s">
        <v>34</v>
      </c>
      <c r="X9" s="53"/>
      <c r="Y9" s="53"/>
      <c r="Z9" s="53" t="s">
        <v>35</v>
      </c>
      <c r="AA9" s="53"/>
      <c r="AB9" s="53"/>
      <c r="AC9" s="47" t="s">
        <v>36</v>
      </c>
      <c r="AD9" s="47"/>
      <c r="AE9" s="47"/>
      <c r="AF9" s="47" t="s">
        <v>37</v>
      </c>
      <c r="AG9" s="47"/>
      <c r="AH9" s="47"/>
      <c r="AI9" s="48" t="s">
        <v>38</v>
      </c>
      <c r="AJ9" s="48"/>
      <c r="AK9" s="49"/>
      <c r="AL9" s="50" t="s">
        <v>12</v>
      </c>
      <c r="AM9" s="50" t="s">
        <v>13</v>
      </c>
      <c r="AN9" s="50" t="s">
        <v>14</v>
      </c>
    </row>
    <row r="10" spans="1:40" ht="126.75" customHeight="1" x14ac:dyDescent="0.25">
      <c r="A10" s="47"/>
      <c r="B10" s="57"/>
      <c r="C10" s="57"/>
      <c r="D10" s="57"/>
      <c r="E10" s="51"/>
      <c r="F10" s="51"/>
      <c r="G10" s="51"/>
      <c r="H10" s="25" t="s">
        <v>12</v>
      </c>
      <c r="I10" s="25" t="s">
        <v>13</v>
      </c>
      <c r="J10" s="25" t="s">
        <v>14</v>
      </c>
      <c r="K10" s="25" t="s">
        <v>12</v>
      </c>
      <c r="L10" s="25" t="s">
        <v>13</v>
      </c>
      <c r="M10" s="25" t="s">
        <v>14</v>
      </c>
      <c r="N10" s="25" t="s">
        <v>12</v>
      </c>
      <c r="O10" s="25" t="s">
        <v>13</v>
      </c>
      <c r="P10" s="25" t="s">
        <v>14</v>
      </c>
      <c r="Q10" s="25" t="s">
        <v>12</v>
      </c>
      <c r="R10" s="25" t="s">
        <v>13</v>
      </c>
      <c r="S10" s="25" t="s">
        <v>14</v>
      </c>
      <c r="T10" s="51"/>
      <c r="U10" s="51"/>
      <c r="V10" s="51"/>
      <c r="W10" s="25" t="s">
        <v>12</v>
      </c>
      <c r="X10" s="25" t="s">
        <v>13</v>
      </c>
      <c r="Y10" s="25" t="s">
        <v>14</v>
      </c>
      <c r="Z10" s="25" t="s">
        <v>12</v>
      </c>
      <c r="AA10" s="25" t="s">
        <v>13</v>
      </c>
      <c r="AB10" s="25" t="s">
        <v>14</v>
      </c>
      <c r="AC10" s="25" t="s">
        <v>12</v>
      </c>
      <c r="AD10" s="25" t="s">
        <v>13</v>
      </c>
      <c r="AE10" s="25" t="s">
        <v>14</v>
      </c>
      <c r="AF10" s="25" t="s">
        <v>12</v>
      </c>
      <c r="AG10" s="25" t="s">
        <v>13</v>
      </c>
      <c r="AH10" s="25" t="s">
        <v>14</v>
      </c>
      <c r="AI10" s="25" t="s">
        <v>12</v>
      </c>
      <c r="AJ10" s="25" t="s">
        <v>13</v>
      </c>
      <c r="AK10" s="25" t="s">
        <v>14</v>
      </c>
      <c r="AL10" s="51"/>
      <c r="AM10" s="51"/>
      <c r="AN10" s="51"/>
    </row>
    <row r="11" spans="1:40" ht="15.75" x14ac:dyDescent="0.25">
      <c r="A11" s="26">
        <v>1</v>
      </c>
      <c r="B11" s="26" t="s">
        <v>47</v>
      </c>
      <c r="C11" s="26"/>
      <c r="D11" s="26">
        <v>25</v>
      </c>
      <c r="E11" s="26">
        <v>7</v>
      </c>
      <c r="F11" s="26">
        <v>4</v>
      </c>
      <c r="G11" s="26">
        <v>3</v>
      </c>
      <c r="H11" s="26">
        <v>7</v>
      </c>
      <c r="I11" s="26">
        <v>4</v>
      </c>
      <c r="J11" s="26">
        <v>3</v>
      </c>
      <c r="K11" s="26">
        <v>7</v>
      </c>
      <c r="L11" s="26">
        <v>4</v>
      </c>
      <c r="M11" s="26">
        <v>3</v>
      </c>
      <c r="N11" s="26">
        <v>7</v>
      </c>
      <c r="O11" s="26">
        <v>4</v>
      </c>
      <c r="P11" s="26">
        <v>3</v>
      </c>
      <c r="Q11" s="26">
        <v>7</v>
      </c>
      <c r="R11" s="26">
        <v>4</v>
      </c>
      <c r="S11" s="26">
        <v>3</v>
      </c>
      <c r="T11" s="26">
        <v>7</v>
      </c>
      <c r="U11" s="26">
        <v>4</v>
      </c>
      <c r="V11" s="26">
        <v>3</v>
      </c>
      <c r="W11" s="26">
        <v>7</v>
      </c>
      <c r="X11" s="26">
        <v>4</v>
      </c>
      <c r="Y11" s="26">
        <v>3</v>
      </c>
      <c r="Z11" s="26">
        <v>7</v>
      </c>
      <c r="AA11" s="26">
        <v>4</v>
      </c>
      <c r="AB11" s="26">
        <v>3</v>
      </c>
      <c r="AC11" s="26">
        <v>7</v>
      </c>
      <c r="AD11" s="26">
        <v>4</v>
      </c>
      <c r="AE11" s="26">
        <v>3</v>
      </c>
      <c r="AF11" s="26">
        <v>7</v>
      </c>
      <c r="AG11" s="26">
        <v>4</v>
      </c>
      <c r="AH11" s="26">
        <v>3</v>
      </c>
      <c r="AI11" s="26">
        <v>7</v>
      </c>
      <c r="AJ11" s="26">
        <v>4</v>
      </c>
      <c r="AK11" s="26">
        <v>3</v>
      </c>
      <c r="AL11" s="26">
        <v>7</v>
      </c>
      <c r="AM11" s="26">
        <v>4</v>
      </c>
      <c r="AN11" s="26">
        <v>3</v>
      </c>
    </row>
    <row r="12" spans="1:40" ht="15.75" x14ac:dyDescent="0.25">
      <c r="A12" s="26">
        <v>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 spans="1:40" ht="15.75" x14ac:dyDescent="0.25">
      <c r="A13" s="26">
        <v>3</v>
      </c>
      <c r="B13" s="25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</row>
    <row r="14" spans="1:40" ht="15.75" x14ac:dyDescent="0.25">
      <c r="A14" s="26">
        <v>4</v>
      </c>
      <c r="B14" s="25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</row>
    <row r="15" spans="1:40" ht="15.75" x14ac:dyDescent="0.25">
      <c r="A15" s="26">
        <v>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 spans="1:40" ht="15.75" x14ac:dyDescent="0.25">
      <c r="A16" s="26">
        <v>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 spans="1:40" ht="15.75" x14ac:dyDescent="0.25">
      <c r="A17" s="26">
        <v>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 spans="1:40" ht="15.75" x14ac:dyDescent="0.25">
      <c r="A18" s="43" t="s">
        <v>15</v>
      </c>
      <c r="B18" s="44"/>
      <c r="C18" s="45"/>
      <c r="D18" s="27">
        <v>25</v>
      </c>
      <c r="E18" s="26">
        <v>7</v>
      </c>
      <c r="F18" s="26">
        <v>4</v>
      </c>
      <c r="G18" s="26">
        <v>3</v>
      </c>
      <c r="H18" s="26">
        <v>7</v>
      </c>
      <c r="I18" s="26">
        <v>4</v>
      </c>
      <c r="J18" s="26">
        <v>3</v>
      </c>
      <c r="K18" s="26">
        <v>7</v>
      </c>
      <c r="L18" s="26">
        <v>4</v>
      </c>
      <c r="M18" s="26">
        <v>3</v>
      </c>
      <c r="N18" s="26">
        <v>7</v>
      </c>
      <c r="O18" s="26">
        <v>4</v>
      </c>
      <c r="P18" s="26">
        <v>3</v>
      </c>
      <c r="Q18" s="26">
        <v>7</v>
      </c>
      <c r="R18" s="26">
        <v>4</v>
      </c>
      <c r="S18" s="26">
        <v>3</v>
      </c>
      <c r="T18" s="26">
        <v>7</v>
      </c>
      <c r="U18" s="26">
        <v>4</v>
      </c>
      <c r="V18" s="26">
        <v>3</v>
      </c>
      <c r="W18" s="26">
        <v>7</v>
      </c>
      <c r="X18" s="26">
        <v>4</v>
      </c>
      <c r="Y18" s="26">
        <v>3</v>
      </c>
      <c r="Z18" s="26">
        <v>7</v>
      </c>
      <c r="AA18" s="26">
        <v>4</v>
      </c>
      <c r="AB18" s="26">
        <v>3</v>
      </c>
      <c r="AC18" s="26">
        <v>7</v>
      </c>
      <c r="AD18" s="26">
        <v>4</v>
      </c>
      <c r="AE18" s="26">
        <v>3</v>
      </c>
      <c r="AF18" s="26">
        <v>7</v>
      </c>
      <c r="AG18" s="26">
        <v>4</v>
      </c>
      <c r="AH18" s="26">
        <v>3</v>
      </c>
      <c r="AI18" s="26">
        <v>7</v>
      </c>
      <c r="AJ18" s="26">
        <v>4</v>
      </c>
      <c r="AK18" s="26">
        <v>3</v>
      </c>
      <c r="AL18" s="26">
        <v>7</v>
      </c>
      <c r="AM18" s="26">
        <v>4</v>
      </c>
      <c r="AN18" s="26">
        <v>3</v>
      </c>
    </row>
    <row r="19" spans="1:40" ht="18.75" customHeight="1" x14ac:dyDescent="0.25">
      <c r="A19" s="46" t="s">
        <v>16</v>
      </c>
      <c r="B19" s="46"/>
      <c r="C19" s="46"/>
      <c r="D19" s="28">
        <f>D18*100/D18</f>
        <v>100</v>
      </c>
      <c r="E19" s="26">
        <f>E18*100/D18</f>
        <v>28</v>
      </c>
      <c r="F19" s="26">
        <f>F18*100/D18</f>
        <v>16</v>
      </c>
      <c r="G19" s="26">
        <f>G18*100/D18</f>
        <v>12</v>
      </c>
      <c r="H19" s="26">
        <f>H18*100/D18</f>
        <v>28</v>
      </c>
      <c r="I19" s="26">
        <f>I18*100/D18</f>
        <v>16</v>
      </c>
      <c r="J19" s="26">
        <f>J18*100/D18</f>
        <v>12</v>
      </c>
      <c r="K19" s="26">
        <f>K18*100/D18</f>
        <v>28</v>
      </c>
      <c r="L19" s="26">
        <f>L18*100/D18</f>
        <v>16</v>
      </c>
      <c r="M19" s="26">
        <f>M18*100/D18</f>
        <v>12</v>
      </c>
      <c r="N19" s="26">
        <f>N18*100/D18</f>
        <v>28</v>
      </c>
      <c r="O19" s="26">
        <f>O18*100/D18</f>
        <v>16</v>
      </c>
      <c r="P19" s="26">
        <f>P18*100/D18</f>
        <v>12</v>
      </c>
      <c r="Q19" s="26">
        <f>Q18*100/D18</f>
        <v>28</v>
      </c>
      <c r="R19" s="26">
        <f>R18*100/D18</f>
        <v>16</v>
      </c>
      <c r="S19" s="26">
        <f>S18*100/D18</f>
        <v>12</v>
      </c>
      <c r="T19" s="26">
        <f>T18*100/D18</f>
        <v>28</v>
      </c>
      <c r="U19" s="26">
        <f>U18*100/D18</f>
        <v>16</v>
      </c>
      <c r="V19" s="26">
        <f>V18*100/D18</f>
        <v>12</v>
      </c>
      <c r="W19" s="26">
        <f>W18*100/D18</f>
        <v>28</v>
      </c>
      <c r="X19" s="26">
        <f>X18*100/D18</f>
        <v>16</v>
      </c>
      <c r="Y19" s="26">
        <f>Y18*100/D18</f>
        <v>12</v>
      </c>
      <c r="Z19" s="26">
        <f>Z18*100/D18</f>
        <v>28</v>
      </c>
      <c r="AA19" s="26">
        <f>AA18*100/D18</f>
        <v>16</v>
      </c>
      <c r="AB19" s="26">
        <f>AB18*100/D18</f>
        <v>12</v>
      </c>
      <c r="AC19" s="26">
        <f>AC18*100/D18</f>
        <v>28</v>
      </c>
      <c r="AD19" s="26">
        <f>AD18*100/D18</f>
        <v>16</v>
      </c>
      <c r="AE19" s="26">
        <f>AE18*100/D18</f>
        <v>12</v>
      </c>
      <c r="AF19" s="26">
        <f>AF18*100/D18</f>
        <v>28</v>
      </c>
      <c r="AG19" s="26">
        <f>AG18*100/D18</f>
        <v>16</v>
      </c>
      <c r="AH19" s="26">
        <f>AH18*100/D18</f>
        <v>12</v>
      </c>
      <c r="AI19" s="26">
        <f>AI18*100/D18</f>
        <v>28</v>
      </c>
      <c r="AJ19" s="26">
        <f>AJ18*100/D18</f>
        <v>16</v>
      </c>
      <c r="AK19" s="26">
        <f>AK18*100/D18</f>
        <v>12</v>
      </c>
      <c r="AL19" s="26">
        <f>AL18*100/D18</f>
        <v>28</v>
      </c>
      <c r="AM19" s="26">
        <f>AM18*100/D18</f>
        <v>16</v>
      </c>
      <c r="AN19" s="26">
        <f>AN18*100/D18</f>
        <v>12</v>
      </c>
    </row>
  </sheetData>
  <mergeCells count="34">
    <mergeCell ref="R3:V3"/>
    <mergeCell ref="AM3:AN3"/>
    <mergeCell ref="B4:F4"/>
    <mergeCell ref="R4:W4"/>
    <mergeCell ref="R5:W5"/>
    <mergeCell ref="H8:S8"/>
    <mergeCell ref="T8:V8"/>
    <mergeCell ref="W8:AK8"/>
    <mergeCell ref="AL8:AN8"/>
    <mergeCell ref="E9:E10"/>
    <mergeCell ref="F9:F10"/>
    <mergeCell ref="G9:G10"/>
    <mergeCell ref="H9:J9"/>
    <mergeCell ref="K9:M9"/>
    <mergeCell ref="N9:P9"/>
    <mergeCell ref="E8:G8"/>
    <mergeCell ref="AL9:AL10"/>
    <mergeCell ref="AM9:AM10"/>
    <mergeCell ref="AN9:AN10"/>
    <mergeCell ref="Q9:S9"/>
    <mergeCell ref="T9:T10"/>
    <mergeCell ref="U9:U10"/>
    <mergeCell ref="V9:V10"/>
    <mergeCell ref="W9:Y9"/>
    <mergeCell ref="Z9:AB9"/>
    <mergeCell ref="A18:C18"/>
    <mergeCell ref="A19:C19"/>
    <mergeCell ref="AC9:AE9"/>
    <mergeCell ref="AF9:AH9"/>
    <mergeCell ref="AI9:AK9"/>
    <mergeCell ref="A8:A10"/>
    <mergeCell ref="B8:B10"/>
    <mergeCell ref="C8:C10"/>
    <mergeCell ref="D8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C9" sqref="C9:R9"/>
    </sheetView>
  </sheetViews>
  <sheetFormatPr defaultColWidth="9" defaultRowHeight="15" x14ac:dyDescent="0.25"/>
  <cols>
    <col min="1" max="1" width="19.28515625" customWidth="1"/>
    <col min="2" max="2" width="9.5703125" customWidth="1"/>
    <col min="3" max="17" width="9.28515625" customWidth="1"/>
  </cols>
  <sheetData>
    <row r="1" spans="1:23" x14ac:dyDescent="0.25">
      <c r="N1" s="73" t="s">
        <v>19</v>
      </c>
      <c r="O1" s="73"/>
    </row>
    <row r="2" spans="1:23" ht="15.75" x14ac:dyDescent="0.25">
      <c r="A2" s="1" t="s">
        <v>0</v>
      </c>
      <c r="B2" s="1"/>
      <c r="C2" s="2"/>
      <c r="E2" s="2"/>
      <c r="F2" s="2"/>
      <c r="G2" s="42" t="s">
        <v>41</v>
      </c>
      <c r="H2" s="42"/>
      <c r="I2" s="42"/>
      <c r="J2" s="42"/>
      <c r="K2" s="42"/>
      <c r="L2" s="3"/>
      <c r="M2" s="3"/>
      <c r="N2" s="3"/>
      <c r="O2" s="3"/>
    </row>
    <row r="3" spans="1:23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3" ht="15.75" x14ac:dyDescent="0.25">
      <c r="C4" s="4"/>
      <c r="E4" s="3"/>
      <c r="F4" s="3"/>
      <c r="G4" s="42" t="s">
        <v>50</v>
      </c>
      <c r="H4" s="42"/>
      <c r="I4" s="42"/>
      <c r="J4" s="42"/>
      <c r="K4" s="42"/>
      <c r="L4" s="42"/>
      <c r="M4" s="42"/>
      <c r="N4" s="3"/>
      <c r="O4" s="3"/>
      <c r="P4" s="3"/>
      <c r="Q4" s="3"/>
    </row>
    <row r="5" spans="1:23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75" x14ac:dyDescent="0.25">
      <c r="A6" s="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25">
      <c r="A7" s="70" t="s">
        <v>20</v>
      </c>
      <c r="B7" s="34" t="s">
        <v>21</v>
      </c>
      <c r="C7" s="34" t="s">
        <v>7</v>
      </c>
      <c r="D7" s="34"/>
      <c r="E7" s="34"/>
      <c r="F7" s="34" t="s">
        <v>8</v>
      </c>
      <c r="G7" s="34"/>
      <c r="H7" s="34"/>
      <c r="I7" s="34" t="s">
        <v>9</v>
      </c>
      <c r="J7" s="34"/>
      <c r="K7" s="34"/>
      <c r="L7" s="34" t="s">
        <v>10</v>
      </c>
      <c r="M7" s="34"/>
      <c r="N7" s="34"/>
      <c r="O7" s="34" t="s">
        <v>11</v>
      </c>
      <c r="P7" s="34"/>
      <c r="Q7" s="34"/>
      <c r="R7" s="72" t="s">
        <v>40</v>
      </c>
      <c r="S7" s="72"/>
      <c r="T7" s="72"/>
      <c r="U7" s="72"/>
      <c r="V7" s="72"/>
      <c r="W7" s="72"/>
    </row>
    <row r="8" spans="1:23" ht="78.75" x14ac:dyDescent="0.25">
      <c r="A8" s="71"/>
      <c r="B8" s="34"/>
      <c r="C8" s="6" t="s">
        <v>12</v>
      </c>
      <c r="D8" s="6" t="s">
        <v>13</v>
      </c>
      <c r="E8" s="6" t="s">
        <v>14</v>
      </c>
      <c r="F8" s="6" t="s">
        <v>12</v>
      </c>
      <c r="G8" s="6" t="s">
        <v>13</v>
      </c>
      <c r="H8" s="6" t="s">
        <v>14</v>
      </c>
      <c r="I8" s="6" t="s">
        <v>12</v>
      </c>
      <c r="J8" s="6" t="s">
        <v>13</v>
      </c>
      <c r="K8" s="6" t="s">
        <v>14</v>
      </c>
      <c r="L8" s="6" t="s">
        <v>12</v>
      </c>
      <c r="M8" s="6" t="s">
        <v>13</v>
      </c>
      <c r="N8" s="6" t="s">
        <v>14</v>
      </c>
      <c r="O8" s="6" t="s">
        <v>12</v>
      </c>
      <c r="P8" s="6" t="s">
        <v>13</v>
      </c>
      <c r="Q8" s="6" t="s">
        <v>14</v>
      </c>
      <c r="R8" s="25" t="s">
        <v>12</v>
      </c>
      <c r="S8" s="25" t="s">
        <v>16</v>
      </c>
      <c r="T8" s="25" t="s">
        <v>13</v>
      </c>
      <c r="U8" s="29" t="s">
        <v>16</v>
      </c>
      <c r="V8" s="25" t="s">
        <v>14</v>
      </c>
      <c r="W8" s="25" t="s">
        <v>16</v>
      </c>
    </row>
    <row r="9" spans="1:23" ht="15.75" x14ac:dyDescent="0.25">
      <c r="A9" s="7" t="s">
        <v>22</v>
      </c>
      <c r="B9" s="8">
        <v>20</v>
      </c>
      <c r="C9" s="8">
        <v>4</v>
      </c>
      <c r="D9" s="8">
        <v>14</v>
      </c>
      <c r="E9" s="8">
        <v>2</v>
      </c>
      <c r="F9" s="8">
        <v>4</v>
      </c>
      <c r="G9" s="8">
        <v>14</v>
      </c>
      <c r="H9" s="8">
        <v>2</v>
      </c>
      <c r="I9" s="8">
        <v>4</v>
      </c>
      <c r="J9" s="8">
        <v>14</v>
      </c>
      <c r="K9" s="8">
        <v>2</v>
      </c>
      <c r="L9" s="8">
        <v>4</v>
      </c>
      <c r="M9" s="8">
        <v>14</v>
      </c>
      <c r="N9" s="8">
        <v>2</v>
      </c>
      <c r="O9" s="8">
        <v>4</v>
      </c>
      <c r="P9" s="8">
        <v>14</v>
      </c>
      <c r="Q9" s="8">
        <v>2</v>
      </c>
      <c r="R9" s="26">
        <f t="shared" ref="R9:R13" si="0">(C9+F9+I9+L9+O9)/5</f>
        <v>4</v>
      </c>
      <c r="S9" s="30">
        <f>R9*100/B9</f>
        <v>20</v>
      </c>
      <c r="T9" s="26">
        <f t="shared" ref="T9:T13" si="1">(D9+G9+J9+M9+P9)/5</f>
        <v>14</v>
      </c>
      <c r="U9" s="30">
        <f>T9*100/B9</f>
        <v>70</v>
      </c>
      <c r="V9" s="31">
        <f t="shared" ref="V9:V13" si="2">(E9+H9+K9+N9+Q9)/5</f>
        <v>2</v>
      </c>
      <c r="W9" s="30">
        <f>V9*100/B9</f>
        <v>10</v>
      </c>
    </row>
    <row r="10" spans="1:23" ht="15.75" x14ac:dyDescent="0.25">
      <c r="A10" s="7" t="s">
        <v>23</v>
      </c>
      <c r="B10" s="8">
        <v>25</v>
      </c>
      <c r="C10" s="8">
        <v>18</v>
      </c>
      <c r="D10" s="8">
        <v>22</v>
      </c>
      <c r="E10" s="8">
        <v>34</v>
      </c>
      <c r="F10" s="8">
        <v>16</v>
      </c>
      <c r="G10" s="8">
        <v>22</v>
      </c>
      <c r="H10" s="8">
        <v>26</v>
      </c>
      <c r="I10" s="8">
        <v>18</v>
      </c>
      <c r="J10" s="8">
        <v>22</v>
      </c>
      <c r="K10" s="8">
        <v>34</v>
      </c>
      <c r="L10" s="8">
        <v>16</v>
      </c>
      <c r="M10" s="8">
        <v>22</v>
      </c>
      <c r="N10" s="8">
        <v>26</v>
      </c>
      <c r="O10" s="8">
        <v>18</v>
      </c>
      <c r="P10" s="8">
        <v>22</v>
      </c>
      <c r="Q10" s="8">
        <v>34</v>
      </c>
      <c r="R10" s="32">
        <f t="shared" si="0"/>
        <v>17.2</v>
      </c>
      <c r="S10" s="32">
        <f>R10*100/B10</f>
        <v>68.8</v>
      </c>
      <c r="T10" s="32">
        <f t="shared" si="1"/>
        <v>22</v>
      </c>
      <c r="U10" s="32">
        <f t="shared" ref="U10:U13" si="3">T10*100/B10</f>
        <v>88</v>
      </c>
      <c r="V10" s="33">
        <f t="shared" si="2"/>
        <v>30.8</v>
      </c>
      <c r="W10" s="32">
        <f t="shared" ref="W10:W13" si="4">V10*100/B10</f>
        <v>123.2</v>
      </c>
    </row>
    <row r="11" spans="1:23" ht="15.75" x14ac:dyDescent="0.25">
      <c r="A11" s="7" t="s">
        <v>24</v>
      </c>
      <c r="B11" s="8">
        <v>19</v>
      </c>
      <c r="C11" s="8">
        <v>39</v>
      </c>
      <c r="D11" s="8">
        <v>41</v>
      </c>
      <c r="E11" s="8">
        <v>51</v>
      </c>
      <c r="F11" s="8">
        <v>39</v>
      </c>
      <c r="G11" s="8">
        <v>41</v>
      </c>
      <c r="H11" s="8">
        <v>51</v>
      </c>
      <c r="I11" s="8">
        <v>39</v>
      </c>
      <c r="J11" s="8">
        <v>41</v>
      </c>
      <c r="K11" s="8">
        <v>51</v>
      </c>
      <c r="L11" s="8">
        <v>39</v>
      </c>
      <c r="M11" s="8">
        <v>41</v>
      </c>
      <c r="N11" s="8">
        <v>51</v>
      </c>
      <c r="O11" s="8">
        <v>39</v>
      </c>
      <c r="P11" s="8">
        <v>41</v>
      </c>
      <c r="Q11" s="8">
        <v>51</v>
      </c>
      <c r="R11" s="32">
        <f t="shared" si="0"/>
        <v>39</v>
      </c>
      <c r="S11" s="32">
        <f t="shared" ref="S11:S13" si="5">R11*100/B11</f>
        <v>205.26315789473685</v>
      </c>
      <c r="T11" s="32">
        <f t="shared" si="1"/>
        <v>41</v>
      </c>
      <c r="U11" s="32">
        <f t="shared" si="3"/>
        <v>215.78947368421052</v>
      </c>
      <c r="V11" s="33">
        <f t="shared" si="2"/>
        <v>51</v>
      </c>
      <c r="W11" s="32">
        <f t="shared" si="4"/>
        <v>268.42105263157896</v>
      </c>
    </row>
    <row r="12" spans="1:23" ht="15.75" x14ac:dyDescent="0.25">
      <c r="A12" s="7" t="s">
        <v>39</v>
      </c>
      <c r="B12" s="8">
        <v>25</v>
      </c>
      <c r="C12" s="8">
        <v>7</v>
      </c>
      <c r="D12" s="8">
        <v>4</v>
      </c>
      <c r="E12" s="8">
        <v>3</v>
      </c>
      <c r="F12" s="8">
        <v>7</v>
      </c>
      <c r="G12" s="8">
        <v>4</v>
      </c>
      <c r="H12" s="8">
        <v>3</v>
      </c>
      <c r="I12" s="8">
        <v>7</v>
      </c>
      <c r="J12" s="8">
        <v>4</v>
      </c>
      <c r="K12" s="8">
        <v>3</v>
      </c>
      <c r="L12" s="8">
        <v>7</v>
      </c>
      <c r="M12" s="8">
        <v>4</v>
      </c>
      <c r="N12" s="8">
        <v>3</v>
      </c>
      <c r="O12" s="8">
        <v>7</v>
      </c>
      <c r="P12" s="8">
        <v>4</v>
      </c>
      <c r="Q12" s="8">
        <v>3</v>
      </c>
      <c r="R12" s="32">
        <f>(C12+F12+I12+L12+O12)/5</f>
        <v>7</v>
      </c>
      <c r="S12" s="32">
        <f t="shared" si="5"/>
        <v>28</v>
      </c>
      <c r="T12" s="32">
        <f>(D12+G12+J12+M12+P12)/5</f>
        <v>4</v>
      </c>
      <c r="U12" s="32">
        <f t="shared" si="3"/>
        <v>16</v>
      </c>
      <c r="V12" s="33">
        <f>(E12+H12+K12+N12+Q12)/5</f>
        <v>3</v>
      </c>
      <c r="W12" s="32">
        <f t="shared" si="4"/>
        <v>12</v>
      </c>
    </row>
    <row r="13" spans="1:23" ht="15.75" x14ac:dyDescent="0.25">
      <c r="A13" s="9" t="s">
        <v>15</v>
      </c>
      <c r="B13" s="8">
        <v>85</v>
      </c>
      <c r="C13" s="8">
        <f>SUM(C9:C11)</f>
        <v>61</v>
      </c>
      <c r="D13" s="8">
        <f>SUM(D9:D11)</f>
        <v>77</v>
      </c>
      <c r="E13" s="8">
        <f>SUM(E9:E11)</f>
        <v>87</v>
      </c>
      <c r="F13" s="8">
        <f t="shared" ref="F13:Q13" si="6">SUM(F9:F11)</f>
        <v>59</v>
      </c>
      <c r="G13" s="8">
        <f t="shared" si="6"/>
        <v>77</v>
      </c>
      <c r="H13" s="8">
        <f t="shared" si="6"/>
        <v>79</v>
      </c>
      <c r="I13" s="8">
        <f t="shared" si="6"/>
        <v>61</v>
      </c>
      <c r="J13" s="8">
        <f t="shared" si="6"/>
        <v>77</v>
      </c>
      <c r="K13" s="8">
        <f t="shared" si="6"/>
        <v>87</v>
      </c>
      <c r="L13" s="8">
        <f t="shared" si="6"/>
        <v>59</v>
      </c>
      <c r="M13" s="8">
        <f t="shared" si="6"/>
        <v>77</v>
      </c>
      <c r="N13" s="8">
        <f t="shared" si="6"/>
        <v>79</v>
      </c>
      <c r="O13" s="8">
        <f t="shared" si="6"/>
        <v>61</v>
      </c>
      <c r="P13" s="8">
        <f t="shared" si="6"/>
        <v>77</v>
      </c>
      <c r="Q13" s="8">
        <f t="shared" si="6"/>
        <v>87</v>
      </c>
      <c r="R13" s="32">
        <f t="shared" si="0"/>
        <v>60.2</v>
      </c>
      <c r="S13" s="32">
        <f t="shared" si="5"/>
        <v>70.82352941176471</v>
      </c>
      <c r="T13" s="32">
        <f t="shared" si="1"/>
        <v>77</v>
      </c>
      <c r="U13" s="32">
        <f t="shared" si="3"/>
        <v>90.588235294117652</v>
      </c>
      <c r="V13" s="33">
        <f t="shared" si="2"/>
        <v>83.8</v>
      </c>
      <c r="W13" s="32">
        <f t="shared" si="4"/>
        <v>98.588235294117652</v>
      </c>
    </row>
    <row r="14" spans="1:23" ht="17.25" customHeight="1" x14ac:dyDescent="0.25">
      <c r="A14" s="10" t="s">
        <v>25</v>
      </c>
      <c r="B14" s="11">
        <f>B13*100/B13</f>
        <v>100</v>
      </c>
      <c r="C14" s="12">
        <f>C13*100/B13</f>
        <v>71.764705882352942</v>
      </c>
      <c r="D14" s="13">
        <f>D13*100/B13</f>
        <v>90.588235294117652</v>
      </c>
      <c r="E14" s="13">
        <f>E13*100/B13</f>
        <v>102.35294117647059</v>
      </c>
      <c r="F14" s="13">
        <f>F13*100/B13</f>
        <v>69.411764705882348</v>
      </c>
      <c r="G14" s="13">
        <f>G13*100/B13</f>
        <v>90.588235294117652</v>
      </c>
      <c r="H14" s="13">
        <f>H13*100/B13</f>
        <v>92.941176470588232</v>
      </c>
      <c r="I14" s="13">
        <f>I13*100/B13</f>
        <v>71.764705882352942</v>
      </c>
      <c r="J14" s="13">
        <f>J13*100/B13</f>
        <v>90.588235294117652</v>
      </c>
      <c r="K14" s="13">
        <f>K13*100/B13</f>
        <v>102.35294117647059</v>
      </c>
      <c r="L14" s="13">
        <f>L13*100/B13</f>
        <v>69.411764705882348</v>
      </c>
      <c r="M14" s="13">
        <f>M13*100/B13</f>
        <v>90.588235294117652</v>
      </c>
      <c r="N14" s="13">
        <f>N13*100/B13</f>
        <v>92.941176470588232</v>
      </c>
      <c r="O14" s="13">
        <f>O13*100/B13</f>
        <v>71.764705882352942</v>
      </c>
      <c r="P14" s="13">
        <f>P13*100/B13</f>
        <v>90.588235294117652</v>
      </c>
      <c r="Q14" s="13">
        <f>Q13*100/B13</f>
        <v>102.35294117647059</v>
      </c>
      <c r="R14" s="32"/>
      <c r="S14" s="32"/>
      <c r="T14" s="32"/>
      <c r="U14" s="32"/>
      <c r="V14" s="33"/>
      <c r="W14" s="32"/>
    </row>
    <row r="15" spans="1:23" ht="15.7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5.75" x14ac:dyDescent="0.25">
      <c r="A31" s="1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x14ac:dyDescent="0.25">
      <c r="A32" s="1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</sheetData>
  <mergeCells count="11">
    <mergeCell ref="A7:A8"/>
    <mergeCell ref="B7:B8"/>
    <mergeCell ref="R7:W7"/>
    <mergeCell ref="N1:O1"/>
    <mergeCell ref="G2:K2"/>
    <mergeCell ref="G4:M4"/>
    <mergeCell ref="C7:E7"/>
    <mergeCell ref="F7:H7"/>
    <mergeCell ref="I7:K7"/>
    <mergeCell ref="L7:N7"/>
    <mergeCell ref="O7:Q7"/>
  </mergeCells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орта топ</vt:lpstr>
      <vt:lpstr>кіші</vt:lpstr>
      <vt:lpstr>ересек топ</vt:lpstr>
      <vt:lpstr>МАД</vt:lpstr>
      <vt:lpstr>МДҰ әдіскерінің жинағы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2026-06-22T11:09:29Z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2CB95EBA6A1C4CBBB229CB9EF722C362_12</vt:lpwstr>
  </property>
  <property fmtid="{D5CDD505-2E9C-101B-9397-08002B2CF9AE}" pid="3" name="KSOProductBuildVer">
    <vt:lpwstr>1049-12.2.0.19307</vt:lpwstr>
  </property>
</Properties>
</file>